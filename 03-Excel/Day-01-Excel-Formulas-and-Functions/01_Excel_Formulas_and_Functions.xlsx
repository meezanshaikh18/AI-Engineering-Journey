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  <sheet xmlns:r="http://schemas.openxmlformats.org/officeDocument/2006/relationships" name="Formula_Guide" sheetId="2" state="visible" r:id="rId2"/>
    <sheet xmlns:r="http://schemas.openxmlformats.org/officeDocument/2006/relationships" name="Practice_Tasks" sheetId="3" state="visible" r:id="rId3"/>
  </sheets>
  <definedNames>
    <definedName name="_xlnm._FilterDatabase" localSheetId="0" hidden="1">'Employee_Data'!$A$1:$J$11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₹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mployeeTable" displayName="EmployeeTable" ref="A1:J11" headerRowCount="1">
  <autoFilter ref="A1:J11"/>
  <tableColumns count="10">
    <tableColumn id="1" name="Employee_ID"/>
    <tableColumn id="2" name="Name"/>
    <tableColumn id="3" name="Department"/>
    <tableColumn id="4" name="City"/>
    <tableColumn id="5" name="Salary"/>
    <tableColumn id="6" name="Performance_Score"/>
    <tableColumn id="7" name="Joining_Date"/>
    <tableColumn id="8" name="Bonus_Rate"/>
    <tableColumn id="9" name="Bonus"/>
    <tableColumn id="10" name="Salary_Ban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15" customWidth="1" min="5" max="5"/>
    <col width="20" customWidth="1" min="6" max="6"/>
    <col width="16" customWidth="1" min="7" max="7"/>
    <col width="13" customWidth="1" min="8" max="8"/>
    <col width="15" customWidth="1" min="9" max="9"/>
    <col width="16" customWidth="1" min="10" max="10"/>
  </cols>
  <sheetData>
    <row r="1" ht="28" customHeight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City</t>
        </is>
      </c>
      <c r="E1" s="1" t="inlineStr">
        <is>
          <t>Salary</t>
        </is>
      </c>
      <c r="F1" s="1" t="inlineStr">
        <is>
          <t>Performance_Score</t>
        </is>
      </c>
      <c r="G1" s="1" t="inlineStr">
        <is>
          <t>Joining_Date</t>
        </is>
      </c>
      <c r="H1" s="1" t="inlineStr">
        <is>
          <t>Bonus_Rate</t>
        </is>
      </c>
      <c r="I1" s="1" t="inlineStr">
        <is>
          <t>Bonus</t>
        </is>
      </c>
      <c r="J1" s="1" t="inlineStr">
        <is>
          <t>Salary_Band</t>
        </is>
      </c>
    </row>
    <row r="2">
      <c r="A2" s="2" t="n">
        <v>101</v>
      </c>
      <c r="B2" s="2" t="inlineStr">
        <is>
          <t>Aisha Khan</t>
        </is>
      </c>
      <c r="C2" s="2" t="inlineStr">
        <is>
          <t>IT</t>
        </is>
      </c>
      <c r="D2" s="2" t="inlineStr">
        <is>
          <t>Nashik</t>
        </is>
      </c>
      <c r="E2" s="2" t="n">
        <v>52000</v>
      </c>
      <c r="F2" s="2" t="n">
        <v>4.5</v>
      </c>
      <c r="G2" s="3" t="inlineStr">
        <is>
          <t>2023-02-14</t>
        </is>
      </c>
      <c r="H2" s="4" t="n">
        <v>0.1</v>
      </c>
      <c r="I2" s="5">
        <f>E2*H2</f>
        <v/>
      </c>
      <c r="J2" s="2">
        <f>IF(E2&gt;=60000,"High",IF(E2&gt;=45000,"Medium","Entry"))</f>
        <v/>
      </c>
    </row>
    <row r="3">
      <c r="A3" s="2" t="n">
        <v>102</v>
      </c>
      <c r="B3" s="2" t="inlineStr">
        <is>
          <t>Rahul Patil</t>
        </is>
      </c>
      <c r="C3" s="2" t="inlineStr">
        <is>
          <t>HR</t>
        </is>
      </c>
      <c r="D3" s="2" t="inlineStr">
        <is>
          <t>Pune</t>
        </is>
      </c>
      <c r="E3" s="2" t="n">
        <v>41000</v>
      </c>
      <c r="F3" s="2" t="n">
        <v>3.8</v>
      </c>
      <c r="G3" s="3" t="inlineStr">
        <is>
          <t>2022-07-01</t>
        </is>
      </c>
      <c r="H3" s="4" t="n">
        <v>0.06</v>
      </c>
      <c r="I3" s="5">
        <f>E3*H3</f>
        <v/>
      </c>
      <c r="J3" s="2">
        <f>IF(E3&gt;=60000,"High",IF(E3&gt;=45000,"Medium","Entry"))</f>
        <v/>
      </c>
    </row>
    <row r="4">
      <c r="A4" s="2" t="n">
        <v>103</v>
      </c>
      <c r="B4" s="2" t="inlineStr">
        <is>
          <t>Zoya Shaikh</t>
        </is>
      </c>
      <c r="C4" s="2" t="inlineStr">
        <is>
          <t>IT</t>
        </is>
      </c>
      <c r="D4" s="2" t="inlineStr">
        <is>
          <t>Mumbai</t>
        </is>
      </c>
      <c r="E4" s="2" t="n">
        <v>68000</v>
      </c>
      <c r="F4" s="2" t="n">
        <v>4.8</v>
      </c>
      <c r="G4" s="3" t="inlineStr">
        <is>
          <t>2021-11-20</t>
        </is>
      </c>
      <c r="H4" s="4" t="n">
        <v>0.12</v>
      </c>
      <c r="I4" s="5">
        <f>E4*H4</f>
        <v/>
      </c>
      <c r="J4" s="2">
        <f>IF(E4&gt;=60000,"High",IF(E4&gt;=45000,"Medium","Entry"))</f>
        <v/>
      </c>
    </row>
    <row r="5">
      <c r="A5" s="2" t="n">
        <v>104</v>
      </c>
      <c r="B5" s="2" t="inlineStr">
        <is>
          <t>Aman Joshi</t>
        </is>
      </c>
      <c r="C5" s="2" t="inlineStr">
        <is>
          <t>Sales</t>
        </is>
      </c>
      <c r="D5" s="2" t="inlineStr">
        <is>
          <t>Nashik</t>
        </is>
      </c>
      <c r="E5" s="2" t="n">
        <v>47000</v>
      </c>
      <c r="F5" s="2" t="n">
        <v>3.5</v>
      </c>
      <c r="G5" s="3" t="inlineStr">
        <is>
          <t>2024-01-08</t>
        </is>
      </c>
      <c r="H5" s="4" t="n">
        <v>0.05</v>
      </c>
      <c r="I5" s="5">
        <f>E5*H5</f>
        <v/>
      </c>
      <c r="J5" s="2">
        <f>IF(E5&gt;=60000,"High",IF(E5&gt;=45000,"Medium","Entry"))</f>
        <v/>
      </c>
    </row>
    <row r="6">
      <c r="A6" s="2" t="n">
        <v>105</v>
      </c>
      <c r="B6" s="2" t="inlineStr">
        <is>
          <t>Neha Deshmukh</t>
        </is>
      </c>
      <c r="C6" s="2" t="inlineStr">
        <is>
          <t>Finance</t>
        </is>
      </c>
      <c r="D6" s="2" t="inlineStr">
        <is>
          <t>Pune</t>
        </is>
      </c>
      <c r="E6" s="2" t="n">
        <v>59000</v>
      </c>
      <c r="F6" s="2" t="n">
        <v>4.2</v>
      </c>
      <c r="G6" s="3" t="inlineStr">
        <is>
          <t>2020-09-15</t>
        </is>
      </c>
      <c r="H6" s="4" t="n">
        <v>0.08</v>
      </c>
      <c r="I6" s="5">
        <f>E6*H6</f>
        <v/>
      </c>
      <c r="J6" s="2">
        <f>IF(E6&gt;=60000,"High",IF(E6&gt;=45000,"Medium","Entry"))</f>
        <v/>
      </c>
    </row>
    <row r="7">
      <c r="A7" s="2" t="n">
        <v>106</v>
      </c>
      <c r="B7" s="2" t="inlineStr">
        <is>
          <t>Kabir More</t>
        </is>
      </c>
      <c r="C7" s="2" t="inlineStr">
        <is>
          <t>Sales</t>
        </is>
      </c>
      <c r="D7" s="2" t="inlineStr">
        <is>
          <t>Mumbai</t>
        </is>
      </c>
      <c r="E7" s="2" t="n">
        <v>44500</v>
      </c>
      <c r="F7" s="2" t="n">
        <v>3.9</v>
      </c>
      <c r="G7" s="3" t="inlineStr">
        <is>
          <t>2023-06-30</t>
        </is>
      </c>
      <c r="H7" s="4" t="n">
        <v>0.07000000000000001</v>
      </c>
      <c r="I7" s="5">
        <f>E7*H7</f>
        <v/>
      </c>
      <c r="J7" s="2">
        <f>IF(E7&gt;=60000,"High",IF(E7&gt;=45000,"Medium","Entry"))</f>
        <v/>
      </c>
    </row>
    <row r="8">
      <c r="A8" s="2" t="n">
        <v>107</v>
      </c>
      <c r="B8" s="2" t="inlineStr">
        <is>
          <t>Sara Shaikh</t>
        </is>
      </c>
      <c r="C8" s="2" t="inlineStr">
        <is>
          <t>IT</t>
        </is>
      </c>
      <c r="D8" s="2" t="inlineStr">
        <is>
          <t>Pune</t>
        </is>
      </c>
      <c r="E8" s="2" t="n">
        <v>61000</v>
      </c>
      <c r="F8" s="2" t="n">
        <v>4.6</v>
      </c>
      <c r="G8" s="3" t="inlineStr">
        <is>
          <t>2022-03-12</t>
        </is>
      </c>
      <c r="H8" s="4" t="n">
        <v>0.1</v>
      </c>
      <c r="I8" s="5">
        <f>E8*H8</f>
        <v/>
      </c>
      <c r="J8" s="2">
        <f>IF(E8&gt;=60000,"High",IF(E8&gt;=45000,"Medium","Entry"))</f>
        <v/>
      </c>
    </row>
    <row r="9">
      <c r="A9" s="2" t="n">
        <v>108</v>
      </c>
      <c r="B9" s="2" t="inlineStr">
        <is>
          <t>Ishaan Kulkarni</t>
        </is>
      </c>
      <c r="C9" s="2" t="inlineStr">
        <is>
          <t>Finance</t>
        </is>
      </c>
      <c r="D9" s="2" t="inlineStr">
        <is>
          <t>Nashik</t>
        </is>
      </c>
      <c r="E9" s="2" t="n">
        <v>55000</v>
      </c>
      <c r="F9" s="2" t="n">
        <v>4</v>
      </c>
      <c r="G9" s="3" t="inlineStr">
        <is>
          <t>2021-05-05</t>
        </is>
      </c>
      <c r="H9" s="4" t="n">
        <v>0.08</v>
      </c>
      <c r="I9" s="5">
        <f>E9*H9</f>
        <v/>
      </c>
      <c r="J9" s="2">
        <f>IF(E9&gt;=60000,"High",IF(E9&gt;=45000,"Medium","Entry"))</f>
        <v/>
      </c>
    </row>
    <row r="10">
      <c r="A10" s="2" t="n">
        <v>109</v>
      </c>
      <c r="B10" s="2" t="inlineStr">
        <is>
          <t>Mira Shah</t>
        </is>
      </c>
      <c r="C10" s="2" t="inlineStr">
        <is>
          <t>HR</t>
        </is>
      </c>
      <c r="D10" s="2" t="inlineStr">
        <is>
          <t>Mumbai</t>
        </is>
      </c>
      <c r="E10" s="2" t="n">
        <v>43000</v>
      </c>
      <c r="F10" s="2" t="n">
        <v>3.7</v>
      </c>
      <c r="G10" s="3" t="inlineStr">
        <is>
          <t>2024-04-22</t>
        </is>
      </c>
      <c r="H10" s="4" t="n">
        <v>0.06</v>
      </c>
      <c r="I10" s="5">
        <f>E10*H10</f>
        <v/>
      </c>
      <c r="J10" s="2">
        <f>IF(E10&gt;=60000,"High",IF(E10&gt;=45000,"Medium","Entry"))</f>
        <v/>
      </c>
    </row>
    <row r="11">
      <c r="A11" s="2" t="n">
        <v>110</v>
      </c>
      <c r="B11" s="2" t="inlineStr">
        <is>
          <t>Dev Nair</t>
        </is>
      </c>
      <c r="C11" s="2" t="inlineStr">
        <is>
          <t>IT</t>
        </is>
      </c>
      <c r="D11" s="2" t="inlineStr">
        <is>
          <t>Nashik</t>
        </is>
      </c>
      <c r="E11" s="2" t="n">
        <v>72000</v>
      </c>
      <c r="F11" s="2" t="n">
        <v>4.9</v>
      </c>
      <c r="G11" s="3" t="inlineStr">
        <is>
          <t>2019-12-02</t>
        </is>
      </c>
      <c r="H11" s="4" t="n">
        <v>0.15</v>
      </c>
      <c r="I11" s="5">
        <f>E11*H11</f>
        <v/>
      </c>
      <c r="J11" s="2">
        <f>IF(E11&gt;=60000,"High",IF(E11&gt;=45000,"Medium","Entry"))</f>
        <v/>
      </c>
    </row>
  </sheetData>
  <autoFilter ref="A1:J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75" customWidth="1" min="3" max="3"/>
  </cols>
  <sheetData>
    <row r="1" ht="28" customHeight="1">
      <c r="A1" s="1" t="inlineStr">
        <is>
          <t>Function / Topic</t>
        </is>
      </c>
      <c r="B1" s="1" t="inlineStr">
        <is>
          <t>Example Formula</t>
        </is>
      </c>
      <c r="C1" s="1" t="inlineStr">
        <is>
          <t>Purpose / Key Point</t>
        </is>
      </c>
    </row>
    <row r="2">
      <c r="A2" s="2" t="inlineStr">
        <is>
          <t>SUM</t>
        </is>
      </c>
      <c r="B2" s="2">
        <f>SUM(E2:E11)</f>
        <v/>
      </c>
      <c r="C2" s="2" t="inlineStr">
        <is>
          <t>Adds numeric values in a range.</t>
        </is>
      </c>
    </row>
    <row r="3">
      <c r="A3" s="2" t="inlineStr">
        <is>
          <t>AVERAGE</t>
        </is>
      </c>
      <c r="B3" s="2">
        <f>AVERAGE(E2:E11)</f>
        <v/>
      </c>
      <c r="C3" s="2" t="inlineStr">
        <is>
          <t>Returns the arithmetic mean.</t>
        </is>
      </c>
    </row>
    <row r="4">
      <c r="A4" s="2" t="inlineStr">
        <is>
          <t>COUNT</t>
        </is>
      </c>
      <c r="B4" s="2">
        <f>COUNT(E2:E11)</f>
        <v/>
      </c>
      <c r="C4" s="2" t="inlineStr">
        <is>
          <t>Counts cells containing numbers.</t>
        </is>
      </c>
    </row>
    <row r="5">
      <c r="A5" s="2" t="inlineStr">
        <is>
          <t>COUNTA</t>
        </is>
      </c>
      <c r="B5" s="2">
        <f>COUNTA(B2:B11)</f>
        <v/>
      </c>
      <c r="C5" s="2" t="inlineStr">
        <is>
          <t>Counts non-empty cells.</t>
        </is>
      </c>
    </row>
    <row r="6">
      <c r="A6" s="2" t="inlineStr">
        <is>
          <t>MAX / MIN</t>
        </is>
      </c>
      <c r="B6" s="2">
        <f>MAX(E2:E11) / =MIN(E2:E11)</f>
        <v/>
      </c>
      <c r="C6" s="2" t="inlineStr">
        <is>
          <t>Returns the highest / lowest value.</t>
        </is>
      </c>
    </row>
    <row r="7">
      <c r="A7" s="2" t="inlineStr">
        <is>
          <t>IF</t>
        </is>
      </c>
      <c r="B7" s="2">
        <f>IF(E2&gt;=50000,"High","Low")</f>
        <v/>
      </c>
      <c r="C7" s="2" t="inlineStr">
        <is>
          <t>Returns one result when true and another when false.</t>
        </is>
      </c>
    </row>
    <row r="8">
      <c r="A8" s="2" t="inlineStr">
        <is>
          <t>SUMIF</t>
        </is>
      </c>
      <c r="B8" s="2">
        <f>SUMIF(C2:C11,"IT",E2:E11)</f>
        <v/>
      </c>
      <c r="C8" s="2" t="inlineStr">
        <is>
          <t>Adds values that meet one condition.</t>
        </is>
      </c>
    </row>
    <row r="9">
      <c r="A9" s="2" t="inlineStr">
        <is>
          <t>SUMIFS</t>
        </is>
      </c>
      <c r="B9" s="2">
        <f>SUMIFS(E2:E11,C2:C11,"IT",D2:D11,"Nashik")</f>
        <v/>
      </c>
      <c r="C9" s="2" t="inlineStr">
        <is>
          <t>Adds values meeting multiple conditions.</t>
        </is>
      </c>
    </row>
    <row r="10">
      <c r="A10" s="2" t="inlineStr">
        <is>
          <t>COUNTIF</t>
        </is>
      </c>
      <c r="B10" s="2">
        <f>COUNTIF(C2:C11,"IT")</f>
        <v/>
      </c>
      <c r="C10" s="2" t="inlineStr">
        <is>
          <t>Counts cells meeting one condition.</t>
        </is>
      </c>
    </row>
    <row r="11">
      <c r="A11" s="2" t="inlineStr">
        <is>
          <t>COUNTIFS</t>
        </is>
      </c>
      <c r="B11" s="2">
        <f>COUNTIFS(C2:C11,"IT",D2:D11,"Nashik")</f>
        <v/>
      </c>
      <c r="C11" s="2" t="inlineStr">
        <is>
          <t>Counts records meeting multiple conditions.</t>
        </is>
      </c>
    </row>
    <row r="12">
      <c r="A12" s="2" t="inlineStr">
        <is>
          <t>IFERROR</t>
        </is>
      </c>
      <c r="B12" s="2">
        <f>IFERROR(E2/0,0)</f>
        <v/>
      </c>
      <c r="C12" s="2" t="inlineStr">
        <is>
          <t>Returns a fallback value if a formula errors.</t>
        </is>
      </c>
    </row>
    <row r="13">
      <c r="A13" s="2" t="inlineStr">
        <is>
          <t>XLOOKUP</t>
        </is>
      </c>
      <c r="B13" s="2">
        <f>XLOOKUP(103,A2:A11,B2:B11,"Not Found")</f>
        <v/>
      </c>
      <c r="C13" s="2" t="inlineStr">
        <is>
          <t>Looks up a key and returns a matching value (modern Excel).</t>
        </is>
      </c>
    </row>
    <row r="14">
      <c r="A14" s="2" t="inlineStr">
        <is>
          <t>VLOOKUP</t>
        </is>
      </c>
      <c r="B14" s="2">
        <f>VLOOKUP(103,A2:J11,2,FALSE)</f>
        <v/>
      </c>
      <c r="C14" s="2" t="inlineStr">
        <is>
          <t>Looks in the first range column; FALSE requests exact match.</t>
        </is>
      </c>
    </row>
    <row r="15">
      <c r="A15" s="2" t="inlineStr">
        <is>
          <t>INDEX + MATCH</t>
        </is>
      </c>
      <c r="B15" s="2">
        <f>INDEX(B2:B11,MATCH(103,A2:A11,0))</f>
        <v/>
      </c>
      <c r="C15" s="2" t="inlineStr">
        <is>
          <t>Flexible lookup alternative.</t>
        </is>
      </c>
    </row>
    <row r="16">
      <c r="A16" s="2" t="inlineStr">
        <is>
          <t>Text cleanup</t>
        </is>
      </c>
      <c r="B16" s="2">
        <f>TRIM(B2)</f>
        <v/>
      </c>
      <c r="C16" s="2" t="inlineStr">
        <is>
          <t>Removes leading, trailing and repeated ordinary spaces.</t>
        </is>
      </c>
    </row>
    <row r="17">
      <c r="A17" s="2" t="inlineStr">
        <is>
          <t>Text join</t>
        </is>
      </c>
      <c r="B17" s="2">
        <f>TEXTJOIN(" - ",TRUE,B2,C2,D2)</f>
        <v/>
      </c>
      <c r="C17" s="2" t="inlineStr">
        <is>
          <t>Combines text with a delimiter.</t>
        </is>
      </c>
    </row>
    <row r="18">
      <c r="A18" s="2" t="inlineStr">
        <is>
          <t>Date</t>
        </is>
      </c>
      <c r="B18" s="2">
        <f>TODAY()</f>
        <v/>
      </c>
      <c r="C18" s="2" t="inlineStr">
        <is>
          <t>Returns the current date; result changes over time.</t>
        </is>
      </c>
    </row>
    <row r="19">
      <c r="A19" s="2" t="inlineStr">
        <is>
          <t>Absolute reference</t>
        </is>
      </c>
      <c r="B19" s="2">
        <f>E2*$H$2</f>
        <v/>
      </c>
      <c r="C19" s="2" t="inlineStr">
        <is>
          <t>$H$2 stays fixed when copied.</t>
        </is>
      </c>
    </row>
    <row r="20">
      <c r="A20" s="2" t="inlineStr">
        <is>
          <t>Mixed reference</t>
        </is>
      </c>
      <c r="B20" s="2">
        <f>$A2 / =A$2</f>
        <v/>
      </c>
      <c r="C20" s="2" t="inlineStr">
        <is>
          <t>Locks only the column or row.</t>
        </is>
      </c>
    </row>
    <row r="21">
      <c r="A21" s="2" t="inlineStr">
        <is>
          <t>Rounding</t>
        </is>
      </c>
      <c r="B21" s="2">
        <f>ROUND(E2*H2,2)</f>
        <v/>
      </c>
      <c r="C21" s="2" t="inlineStr">
        <is>
          <t>Rounds a number to the specified decimal places.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2" customWidth="1" min="2" max="2"/>
    <col width="34" customWidth="1" min="3" max="3"/>
    <col width="28" customWidth="1" min="4" max="4"/>
  </cols>
  <sheetData>
    <row r="1" ht="28" customHeight="1">
      <c r="A1" s="1" t="inlineStr">
        <is>
          <t>No.</t>
        </is>
      </c>
      <c r="B1" s="1" t="inlineStr">
        <is>
          <t>Task</t>
        </is>
      </c>
      <c r="C1" s="1" t="inlineStr">
        <is>
          <t>Your Answer / Notes</t>
        </is>
      </c>
      <c r="D1" s="1" t="inlineStr">
        <is>
          <t>Hint</t>
        </is>
      </c>
    </row>
    <row r="2">
      <c r="A2" s="2" t="n">
        <v>1</v>
      </c>
      <c r="B2" s="2" t="inlineStr">
        <is>
          <t>Calculate total salary for all employees.</t>
        </is>
      </c>
      <c r="C2" s="2" t="inlineStr"/>
      <c r="D2" s="2" t="inlineStr">
        <is>
          <t>SUM</t>
        </is>
      </c>
    </row>
    <row r="3">
      <c r="A3" s="2" t="n">
        <v>2</v>
      </c>
      <c r="B3" s="2" t="inlineStr">
        <is>
          <t>Find the average salary.</t>
        </is>
      </c>
      <c r="C3" s="2" t="inlineStr"/>
      <c r="D3" s="2" t="inlineStr">
        <is>
          <t>AVERAGE</t>
        </is>
      </c>
    </row>
    <row r="4">
      <c r="A4" s="2" t="n">
        <v>3</v>
      </c>
      <c r="B4" s="2" t="inlineStr">
        <is>
          <t>Count how many employees are in IT.</t>
        </is>
      </c>
      <c r="C4" s="2" t="inlineStr"/>
      <c r="D4" s="2" t="inlineStr">
        <is>
          <t>COUNTIF</t>
        </is>
      </c>
    </row>
    <row r="5">
      <c r="A5" s="2" t="n">
        <v>4</v>
      </c>
      <c r="B5" s="2" t="inlineStr">
        <is>
          <t>Calculate total salary for employees in Pune.</t>
        </is>
      </c>
      <c r="C5" s="2" t="inlineStr"/>
      <c r="D5" s="2" t="inlineStr">
        <is>
          <t>SUMIF or SUMIFS</t>
        </is>
      </c>
    </row>
    <row r="6">
      <c r="A6" s="2" t="n">
        <v>5</v>
      </c>
      <c r="B6" s="2" t="inlineStr">
        <is>
          <t>Return the name for Employee_ID 107.</t>
        </is>
      </c>
      <c r="C6" s="2" t="inlineStr"/>
      <c r="D6" s="2" t="inlineStr">
        <is>
          <t>XLOOKUP or INDEX/MATCH</t>
        </is>
      </c>
    </row>
    <row r="7">
      <c r="A7" s="2" t="n">
        <v>6</v>
      </c>
      <c r="B7" s="2" t="inlineStr">
        <is>
          <t>Classify each salary as High (&gt;=60000), Medium (&gt;=45000), or Entry.</t>
        </is>
      </c>
      <c r="C7" s="2" t="inlineStr"/>
      <c r="D7" s="2" t="inlineStr">
        <is>
          <t>Nested IF</t>
        </is>
      </c>
    </row>
    <row r="8">
      <c r="A8" s="2" t="n">
        <v>7</v>
      </c>
      <c r="B8" s="2" t="inlineStr">
        <is>
          <t>Calculate bonus amount using Salary × Bonus_Rate.</t>
        </is>
      </c>
      <c r="C8" s="2" t="inlineStr"/>
      <c r="D8" s="2" t="inlineStr">
        <is>
          <t>Multiplication</t>
        </is>
      </c>
    </row>
    <row r="9">
      <c r="A9" s="2" t="n">
        <v>8</v>
      </c>
      <c r="B9" s="2" t="inlineStr">
        <is>
          <t>Count employees whose performance score is at least 4.5.</t>
        </is>
      </c>
      <c r="C9" s="2" t="inlineStr"/>
      <c r="D9" s="2" t="inlineStr">
        <is>
          <t>COUNTIF/COUNTIFS</t>
        </is>
      </c>
    </row>
    <row r="10">
      <c r="A10" s="2" t="n">
        <v>9</v>
      </c>
      <c r="B10" s="2" t="inlineStr">
        <is>
          <t>Find the highest and lowest salary.</t>
        </is>
      </c>
      <c r="C10" s="2" t="inlineStr"/>
      <c r="D10" s="2" t="inlineStr">
        <is>
          <t>MAX / MIN</t>
        </is>
      </c>
    </row>
    <row r="11">
      <c r="A11" s="2" t="n">
        <v>10</v>
      </c>
      <c r="B11" s="2" t="inlineStr">
        <is>
          <t>Explain the difference between relative and absolute references.</t>
        </is>
      </c>
      <c r="C11" s="2" t="inlineStr"/>
      <c r="D11" s="2" t="inlineStr">
        <is>
          <t>A1 vs $A$1</t>
        </is>
      </c>
    </row>
    <row r="12">
      <c r="A12" s="2" t="n">
        <v>11</v>
      </c>
      <c r="B12" s="2" t="inlineStr">
        <is>
          <t>Return the current date and format it as a date.</t>
        </is>
      </c>
      <c r="C12" s="2" t="inlineStr"/>
      <c r="D12" s="2" t="inlineStr">
        <is>
          <t>TODAY</t>
        </is>
      </c>
    </row>
    <row r="13">
      <c r="A13" s="2" t="n">
        <v>12</v>
      </c>
      <c r="B13" s="2" t="inlineStr">
        <is>
          <t>Combine Name and Department into one label.</t>
        </is>
      </c>
      <c r="C13" s="2" t="inlineStr"/>
      <c r="D13" s="2" t="inlineStr">
        <is>
          <t>TEXTJOIN or &amp;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2026-10-20T16:32:44Z</dcterms:created>
  <dcterms:modified xmlns:dcterms="http://purl.org/dc/terms/" xmlns:xsi="http://www.w3.org/2001/XMLSchema-instance" xsi:type="dcterms:W3CDTF">2026-10-20T16:32:44Z</dcterms:modified>
</cp:coreProperties>
</file>