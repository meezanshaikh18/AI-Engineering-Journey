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SalesTable" displayName="RawSalesTable" ref="A1:J16" headerRowCount="1">
  <autoFilter ref="A1:J16"/>
  <tableColumns count="10">
    <tableColumn id="1" name="Order_ID"/>
    <tableColumn id="2" name="Order_Date"/>
    <tableColumn id="3" name="Customer"/>
    <tableColumn id="4" name="City"/>
    <tableColumn id="5" name="Product"/>
    <tableColumn id="6" name="Category"/>
    <tableColumn id="7" name="Quantity"/>
    <tableColumn id="8" name="Unit_Price"/>
    <tableColumn id="9" name="Sales_Rep"/>
    <tableColumn id="10" name="Payment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SalesTable" displayName="CleanedSalesTable" ref="A1:L16" headerRowCount="1">
  <autoFilter ref="A1:L16"/>
  <tableColumns count="12">
    <tableColumn id="1" name="Order_ID"/>
    <tableColumn id="2" name="Order_Date"/>
    <tableColumn id="3" name="Customer_Clean"/>
    <tableColumn id="4" name="City_Clean"/>
    <tableColumn id="5" name="Product"/>
    <tableColumn id="6" name="Category"/>
    <tableColumn id="7" name="Quantity"/>
    <tableColumn id="8" name="Unit_Price"/>
    <tableColumn id="9" name="Sales_Rep"/>
    <tableColumn id="10" name="Payment_Status"/>
    <tableColumn id="11" name="Revenue"/>
    <tableColumn id="12" name="Duplicate_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4" customWidth="1" min="4" max="4"/>
    <col width="18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</cols>
  <sheetData>
    <row r="1" ht="2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Sales_Rep</t>
        </is>
      </c>
      <c r="J1" s="1" t="inlineStr">
        <is>
          <t>Payment_Status</t>
        </is>
      </c>
    </row>
    <row r="2">
      <c r="A2" s="2" t="inlineStr">
        <is>
          <t>ORD-1001</t>
        </is>
      </c>
      <c r="B2" s="2" t="inlineStr">
        <is>
          <t>2026-01-04</t>
        </is>
      </c>
      <c r="C2" s="2" t="inlineStr">
        <is>
          <t xml:space="preserve">  Aisha Khan </t>
        </is>
      </c>
      <c r="D2" s="2" t="inlineStr">
        <is>
          <t>Nashik</t>
        </is>
      </c>
      <c r="E2" s="2" t="inlineStr">
        <is>
          <t>Laptop</t>
        </is>
      </c>
      <c r="F2" s="2" t="inlineStr">
        <is>
          <t>Electronics</t>
        </is>
      </c>
      <c r="G2" s="2" t="n">
        <v>1</v>
      </c>
      <c r="H2" s="2" t="n">
        <v>55000</v>
      </c>
      <c r="I2" s="2" t="inlineStr">
        <is>
          <t>R. Patil</t>
        </is>
      </c>
      <c r="J2" s="2" t="inlineStr">
        <is>
          <t>Paid</t>
        </is>
      </c>
    </row>
    <row r="3">
      <c r="A3" s="2" t="inlineStr">
        <is>
          <t>ORD-1002</t>
        </is>
      </c>
      <c r="B3" s="2" t="inlineStr">
        <is>
          <t>2026-01-05</t>
        </is>
      </c>
      <c r="C3" s="2" t="inlineStr">
        <is>
          <t>Rahul Patil</t>
        </is>
      </c>
      <c r="D3" s="2" t="inlineStr">
        <is>
          <t>PUNE</t>
        </is>
      </c>
      <c r="E3" s="2" t="inlineStr">
        <is>
          <t>Mouse</t>
        </is>
      </c>
      <c r="F3" s="2" t="inlineStr">
        <is>
          <t>Accessories</t>
        </is>
      </c>
      <c r="G3" s="2" t="n">
        <v>3</v>
      </c>
      <c r="H3" s="2" t="n">
        <v>650</v>
      </c>
      <c r="I3" s="2" t="inlineStr">
        <is>
          <t>S. More</t>
        </is>
      </c>
      <c r="J3" s="2" t="inlineStr">
        <is>
          <t>Paid</t>
        </is>
      </c>
    </row>
    <row r="4">
      <c r="A4" s="2" t="inlineStr">
        <is>
          <t>ORD-1003</t>
        </is>
      </c>
      <c r="B4" s="2" t="inlineStr">
        <is>
          <t>2026-01-07</t>
        </is>
      </c>
      <c r="C4" s="2" t="inlineStr">
        <is>
          <t>Zoya Shaikh</t>
        </is>
      </c>
      <c r="D4" s="2" t="inlineStr">
        <is>
          <t>Mumbai</t>
        </is>
      </c>
      <c r="E4" s="2" t="inlineStr">
        <is>
          <t>Keyboard</t>
        </is>
      </c>
      <c r="F4" s="2" t="inlineStr">
        <is>
          <t>Accessories</t>
        </is>
      </c>
      <c r="G4" s="2" t="n">
        <v>2</v>
      </c>
      <c r="H4" s="2" t="n">
        <v>1200</v>
      </c>
      <c r="I4" s="2" t="inlineStr">
        <is>
          <t>R. Patil</t>
        </is>
      </c>
      <c r="J4" s="2" t="inlineStr">
        <is>
          <t>Pending</t>
        </is>
      </c>
    </row>
    <row r="5">
      <c r="A5" s="2" t="inlineStr">
        <is>
          <t>ORD-1004</t>
        </is>
      </c>
      <c r="B5" s="2" t="inlineStr">
        <is>
          <t>2026-01-08</t>
        </is>
      </c>
      <c r="C5" s="2" t="inlineStr">
        <is>
          <t>Aman Joshi</t>
        </is>
      </c>
      <c r="D5" s="2" t="inlineStr">
        <is>
          <t>Nashik</t>
        </is>
      </c>
      <c r="E5" s="2" t="inlineStr">
        <is>
          <t>Monitor</t>
        </is>
      </c>
      <c r="F5" s="2" t="inlineStr">
        <is>
          <t>Electronics</t>
        </is>
      </c>
      <c r="G5" s="2" t="n">
        <v>2</v>
      </c>
      <c r="H5" s="2" t="n">
        <v>12500</v>
      </c>
      <c r="I5" s="2" t="inlineStr">
        <is>
          <t>N. Shah</t>
        </is>
      </c>
      <c r="J5" s="2" t="inlineStr">
        <is>
          <t>Paid</t>
        </is>
      </c>
    </row>
    <row r="6">
      <c r="A6" s="2" t="inlineStr">
        <is>
          <t>ORD-1005</t>
        </is>
      </c>
      <c r="B6" s="2" t="inlineStr">
        <is>
          <t>2026-01-10</t>
        </is>
      </c>
      <c r="C6" s="2" t="inlineStr">
        <is>
          <t>Neha Deshmukh</t>
        </is>
      </c>
      <c r="D6" s="2" t="inlineStr">
        <is>
          <t>Pune</t>
        </is>
      </c>
      <c r="E6" s="2" t="inlineStr">
        <is>
          <t>Laptop</t>
        </is>
      </c>
      <c r="F6" s="2" t="inlineStr">
        <is>
          <t>Electronics</t>
        </is>
      </c>
      <c r="G6" s="2" t="n">
        <v>1</v>
      </c>
      <c r="H6" s="2" t="n">
        <v>55000</v>
      </c>
      <c r="I6" s="2" t="inlineStr">
        <is>
          <t>S. More</t>
        </is>
      </c>
      <c r="J6" s="2" t="inlineStr">
        <is>
          <t>Paid</t>
        </is>
      </c>
    </row>
    <row r="7">
      <c r="A7" s="2" t="inlineStr">
        <is>
          <t>ORD-1006</t>
        </is>
      </c>
      <c r="B7" s="2" t="inlineStr">
        <is>
          <t>2026-01-11</t>
        </is>
      </c>
      <c r="C7" s="2" t="inlineStr">
        <is>
          <t>Kabir More</t>
        </is>
      </c>
      <c r="D7" s="2" t="inlineStr">
        <is>
          <t>Mumbai</t>
        </is>
      </c>
      <c r="E7" s="2" t="inlineStr">
        <is>
          <t>USB Cable</t>
        </is>
      </c>
      <c r="F7" s="2" t="inlineStr">
        <is>
          <t>Accessories</t>
        </is>
      </c>
      <c r="G7" s="2" t="n">
        <v>5</v>
      </c>
      <c r="H7" s="2" t="n">
        <v>250</v>
      </c>
      <c r="I7" s="2" t="inlineStr">
        <is>
          <t>N. Shah</t>
        </is>
      </c>
      <c r="J7" s="2" t="inlineStr">
        <is>
          <t>Pending</t>
        </is>
      </c>
    </row>
    <row r="8">
      <c r="A8" s="2" t="inlineStr">
        <is>
          <t>ORD-1007</t>
        </is>
      </c>
      <c r="B8" s="2" t="inlineStr">
        <is>
          <t>2026-01-13</t>
        </is>
      </c>
      <c r="C8" s="2" t="inlineStr">
        <is>
          <t>Sara Shaikh</t>
        </is>
      </c>
      <c r="D8" s="2" t="inlineStr">
        <is>
          <t>Nashik</t>
        </is>
      </c>
      <c r="E8" s="2" t="inlineStr">
        <is>
          <t>Webcam</t>
        </is>
      </c>
      <c r="F8" s="2" t="inlineStr">
        <is>
          <t>Accessories</t>
        </is>
      </c>
      <c r="G8" s="2" t="n">
        <v>2</v>
      </c>
      <c r="H8" s="2" t="n">
        <v>1800</v>
      </c>
      <c r="I8" s="2" t="inlineStr">
        <is>
          <t>R. Patil</t>
        </is>
      </c>
      <c r="J8" s="2" t="inlineStr">
        <is>
          <t>Paid</t>
        </is>
      </c>
    </row>
    <row r="9">
      <c r="A9" s="2" t="inlineStr">
        <is>
          <t>ORD-1008</t>
        </is>
      </c>
      <c r="B9" s="2" t="inlineStr">
        <is>
          <t>2026-01-14</t>
        </is>
      </c>
      <c r="C9" s="2" t="inlineStr">
        <is>
          <t>Ishaan Kulkarni</t>
        </is>
      </c>
      <c r="D9" s="2" t="inlineStr">
        <is>
          <t>pune</t>
        </is>
      </c>
      <c r="E9" s="2" t="inlineStr">
        <is>
          <t>Monitor</t>
        </is>
      </c>
      <c r="F9" s="2" t="inlineStr">
        <is>
          <t>Electronics</t>
        </is>
      </c>
      <c r="G9" s="2" t="n">
        <v>1</v>
      </c>
      <c r="H9" s="2" t="n">
        <v>12500</v>
      </c>
      <c r="I9" s="2" t="inlineStr">
        <is>
          <t>S. More</t>
        </is>
      </c>
      <c r="J9" s="2" t="inlineStr">
        <is>
          <t>Paid</t>
        </is>
      </c>
    </row>
    <row r="10">
      <c r="A10" s="2" t="inlineStr">
        <is>
          <t>ORD-1009</t>
        </is>
      </c>
      <c r="B10" s="2" t="inlineStr">
        <is>
          <t>2026-01-15</t>
        </is>
      </c>
      <c r="C10" s="2" t="inlineStr">
        <is>
          <t>Mira Shah</t>
        </is>
      </c>
      <c r="D10" s="2" t="inlineStr">
        <is>
          <t>Mumbai</t>
        </is>
      </c>
      <c r="E10" s="2" t="inlineStr">
        <is>
          <t>Laptop</t>
        </is>
      </c>
      <c r="F10" s="2" t="inlineStr">
        <is>
          <t>Electronics</t>
        </is>
      </c>
      <c r="G10" s="2" t="n">
        <v>1</v>
      </c>
      <c r="H10" s="2" t="n">
        <v>55000</v>
      </c>
      <c r="I10" s="2" t="inlineStr">
        <is>
          <t>N. Shah</t>
        </is>
      </c>
      <c r="J10" s="2" t="inlineStr">
        <is>
          <t>Cancelled</t>
        </is>
      </c>
    </row>
    <row r="11">
      <c r="A11" s="2" t="inlineStr">
        <is>
          <t>ORD-1010</t>
        </is>
      </c>
      <c r="B11" s="2" t="inlineStr">
        <is>
          <t>2026-01-17</t>
        </is>
      </c>
      <c r="C11" s="2" t="inlineStr">
        <is>
          <t>Dev Nair</t>
        </is>
      </c>
      <c r="D11" s="2" t="inlineStr">
        <is>
          <t>Nashik</t>
        </is>
      </c>
      <c r="E11" s="2" t="inlineStr">
        <is>
          <t>Keyboard</t>
        </is>
      </c>
      <c r="F11" s="2" t="inlineStr">
        <is>
          <t>Accessories</t>
        </is>
      </c>
      <c r="G11" s="2" t="n">
        <v>4</v>
      </c>
      <c r="H11" s="2" t="n">
        <v>1200</v>
      </c>
      <c r="I11" s="2" t="inlineStr">
        <is>
          <t>R. Patil</t>
        </is>
      </c>
      <c r="J11" s="2" t="inlineStr">
        <is>
          <t>Paid</t>
        </is>
      </c>
    </row>
    <row r="12">
      <c r="A12" s="2" t="inlineStr">
        <is>
          <t>ORD-1011</t>
        </is>
      </c>
      <c r="B12" s="2" t="inlineStr">
        <is>
          <t>2026-01-18</t>
        </is>
      </c>
      <c r="C12" s="2" t="inlineStr">
        <is>
          <t xml:space="preserve">  Aisha Khan </t>
        </is>
      </c>
      <c r="D12" s="2" t="inlineStr">
        <is>
          <t>Nashik</t>
        </is>
      </c>
      <c r="E12" s="2" t="inlineStr">
        <is>
          <t>Laptop</t>
        </is>
      </c>
      <c r="F12" s="2" t="inlineStr">
        <is>
          <t>Electronics</t>
        </is>
      </c>
      <c r="G12" s="2" t="n">
        <v>1</v>
      </c>
      <c r="H12" s="2" t="n">
        <v>55000</v>
      </c>
      <c r="I12" s="2" t="inlineStr">
        <is>
          <t>R. Patil</t>
        </is>
      </c>
      <c r="J12" s="2" t="inlineStr">
        <is>
          <t>Paid</t>
        </is>
      </c>
    </row>
    <row r="13">
      <c r="A13" s="2" t="inlineStr">
        <is>
          <t>ORD-1012</t>
        </is>
      </c>
      <c r="B13" s="2" t="inlineStr">
        <is>
          <t>2026-01-20</t>
        </is>
      </c>
      <c r="C13" s="2" t="inlineStr">
        <is>
          <t>Rahul Patil</t>
        </is>
      </c>
      <c r="D13" s="2" t="inlineStr">
        <is>
          <t>Pune</t>
        </is>
      </c>
      <c r="E13" s="2" t="inlineStr">
        <is>
          <t>USB Cable</t>
        </is>
      </c>
      <c r="F13" s="2" t="inlineStr">
        <is>
          <t>Accessories</t>
        </is>
      </c>
      <c r="G13" s="2" t="n">
        <v>4</v>
      </c>
      <c r="H13" s="2" t="n">
        <v>250</v>
      </c>
      <c r="I13" s="2" t="inlineStr">
        <is>
          <t>S. More</t>
        </is>
      </c>
      <c r="J13" s="2" t="inlineStr">
        <is>
          <t>Paid</t>
        </is>
      </c>
    </row>
    <row r="14">
      <c r="A14" s="2" t="inlineStr">
        <is>
          <t>ORD-1013</t>
        </is>
      </c>
      <c r="B14" s="2" t="inlineStr">
        <is>
          <t>2026-01-22</t>
        </is>
      </c>
      <c r="C14" s="2" t="inlineStr">
        <is>
          <t>Zoya Shaikh</t>
        </is>
      </c>
      <c r="D14" s="2" t="inlineStr">
        <is>
          <t>Mumbai</t>
        </is>
      </c>
      <c r="E14" s="2" t="inlineStr">
        <is>
          <t>Monitor</t>
        </is>
      </c>
      <c r="F14" s="2" t="inlineStr">
        <is>
          <t>Electronics</t>
        </is>
      </c>
      <c r="G14" s="2" t="n">
        <v>1</v>
      </c>
      <c r="H14" s="2" t="n">
        <v>12500</v>
      </c>
      <c r="I14" s="2" t="inlineStr">
        <is>
          <t>R. Patil</t>
        </is>
      </c>
      <c r="J14" s="2" t="inlineStr">
        <is>
          <t>Pending</t>
        </is>
      </c>
    </row>
    <row r="15">
      <c r="A15" s="2" t="inlineStr">
        <is>
          <t>ORD-1014</t>
        </is>
      </c>
      <c r="B15" s="2" t="inlineStr">
        <is>
          <t>2026-01-23</t>
        </is>
      </c>
      <c r="C15" s="2" t="inlineStr">
        <is>
          <t>Aman Joshi</t>
        </is>
      </c>
      <c r="D15" s="2" t="inlineStr">
        <is>
          <t>Nashik</t>
        </is>
      </c>
      <c r="E15" s="2" t="inlineStr">
        <is>
          <t>Mouse</t>
        </is>
      </c>
      <c r="F15" s="2" t="inlineStr">
        <is>
          <t>Accessories</t>
        </is>
      </c>
      <c r="G15" s="2" t="n">
        <v>2</v>
      </c>
      <c r="H15" s="2" t="n">
        <v>650</v>
      </c>
      <c r="I15" s="2" t="inlineStr">
        <is>
          <t>N. Shah</t>
        </is>
      </c>
      <c r="J15" s="2" t="inlineStr">
        <is>
          <t>Paid</t>
        </is>
      </c>
    </row>
    <row r="16">
      <c r="A16" s="2" t="inlineStr">
        <is>
          <t>ORD-1015</t>
        </is>
      </c>
      <c r="B16" s="2" t="inlineStr">
        <is>
          <t>2026-01-25</t>
        </is>
      </c>
      <c r="C16" s="2" t="inlineStr">
        <is>
          <t>Neha Deshmukh</t>
        </is>
      </c>
      <c r="D16" s="2" t="inlineStr">
        <is>
          <t>Pune</t>
        </is>
      </c>
      <c r="E16" s="2" t="inlineStr">
        <is>
          <t>Webcam</t>
        </is>
      </c>
      <c r="F16" s="2" t="inlineStr">
        <is>
          <t>Accessories</t>
        </is>
      </c>
      <c r="G16" s="2" t="n">
        <v>1</v>
      </c>
      <c r="H16" s="2" t="n">
        <v>1800</v>
      </c>
      <c r="I16" s="2" t="inlineStr">
        <is>
          <t>S. More</t>
        </is>
      </c>
      <c r="J16" s="2" t="inlineStr">
        <is>
          <t>Paid</t>
        </is>
      </c>
    </row>
  </sheetData>
  <dataValidations count="1">
    <dataValidation sqref="J2:J16" showDropDown="0" showInputMessage="0" showErrorMessage="0" allowBlank="0" errorTitle="Invalid payment status" error="Choose Paid, Pending, or Cancelled." type="list">
      <formula1>"Paid,Pending,Cancelled"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16" customWidth="1" min="11" max="11"/>
    <col width="18" customWidth="1" min="12" max="12"/>
  </cols>
  <sheetData>
    <row r="1" ht="2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Customer_Clean</t>
        </is>
      </c>
      <c r="D1" s="1" t="inlineStr">
        <is>
          <t>City_Clean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Sales_Rep</t>
        </is>
      </c>
      <c r="J1" s="1" t="inlineStr">
        <is>
          <t>Payment_Status</t>
        </is>
      </c>
      <c r="K1" s="1" t="inlineStr">
        <is>
          <t>Revenue</t>
        </is>
      </c>
      <c r="L1" s="1" t="inlineStr">
        <is>
          <t>Duplicate_Flag</t>
        </is>
      </c>
    </row>
    <row r="2">
      <c r="A2" s="2">
        <f>Raw_Data!A2</f>
        <v/>
      </c>
      <c r="B2" s="3">
        <f>DATEVALUE(Raw_Data!B2)</f>
        <v/>
      </c>
      <c r="C2" s="2">
        <f>PROPER(TRIM(Raw_Data!C2))</f>
        <v/>
      </c>
      <c r="D2" s="2">
        <f>PROPER(TRIM(Raw_Data!D2))</f>
        <v/>
      </c>
      <c r="E2" s="2">
        <f>Raw_Data!E2</f>
        <v/>
      </c>
      <c r="F2" s="2">
        <f>Raw_Data!F2</f>
        <v/>
      </c>
      <c r="G2" s="2">
        <f>Raw_Data!G2</f>
        <v/>
      </c>
      <c r="H2" s="4">
        <f>Raw_Data!H2</f>
        <v/>
      </c>
      <c r="I2" s="2">
        <f>Raw_Data!I2</f>
        <v/>
      </c>
      <c r="J2" s="2">
        <f>Raw_Data!J2</f>
        <v/>
      </c>
      <c r="K2" s="4">
        <f>G2*H2</f>
        <v/>
      </c>
      <c r="L2" s="2">
        <f>IF(COUNTIF($A$2:A2,A2)&gt;1,"Duplicate ID","Check")</f>
        <v/>
      </c>
    </row>
    <row r="3">
      <c r="A3" s="2">
        <f>Raw_Data!A3</f>
        <v/>
      </c>
      <c r="B3" s="3">
        <f>DATEVALUE(Raw_Data!B3)</f>
        <v/>
      </c>
      <c r="C3" s="2">
        <f>PROPER(TRIM(Raw_Data!C3))</f>
        <v/>
      </c>
      <c r="D3" s="2">
        <f>PROPER(TRIM(Raw_Data!D3))</f>
        <v/>
      </c>
      <c r="E3" s="2">
        <f>Raw_Data!E3</f>
        <v/>
      </c>
      <c r="F3" s="2">
        <f>Raw_Data!F3</f>
        <v/>
      </c>
      <c r="G3" s="2">
        <f>Raw_Data!G3</f>
        <v/>
      </c>
      <c r="H3" s="4">
        <f>Raw_Data!H3</f>
        <v/>
      </c>
      <c r="I3" s="2">
        <f>Raw_Data!I3</f>
        <v/>
      </c>
      <c r="J3" s="2">
        <f>Raw_Data!J3</f>
        <v/>
      </c>
      <c r="K3" s="4">
        <f>G3*H3</f>
        <v/>
      </c>
      <c r="L3" s="2">
        <f>IF(COUNTIF($A$2:A3,A3)&gt;1,"Duplicate ID","Check")</f>
        <v/>
      </c>
    </row>
    <row r="4">
      <c r="A4" s="2">
        <f>Raw_Data!A4</f>
        <v/>
      </c>
      <c r="B4" s="3">
        <f>DATEVALUE(Raw_Data!B4)</f>
        <v/>
      </c>
      <c r="C4" s="2">
        <f>PROPER(TRIM(Raw_Data!C4))</f>
        <v/>
      </c>
      <c r="D4" s="2">
        <f>PROPER(TRIM(Raw_Data!D4))</f>
        <v/>
      </c>
      <c r="E4" s="2">
        <f>Raw_Data!E4</f>
        <v/>
      </c>
      <c r="F4" s="2">
        <f>Raw_Data!F4</f>
        <v/>
      </c>
      <c r="G4" s="2">
        <f>Raw_Data!G4</f>
        <v/>
      </c>
      <c r="H4" s="4">
        <f>Raw_Data!H4</f>
        <v/>
      </c>
      <c r="I4" s="2">
        <f>Raw_Data!I4</f>
        <v/>
      </c>
      <c r="J4" s="2">
        <f>Raw_Data!J4</f>
        <v/>
      </c>
      <c r="K4" s="4">
        <f>G4*H4</f>
        <v/>
      </c>
      <c r="L4" s="2">
        <f>IF(COUNTIF($A$2:A4,A4)&gt;1,"Duplicate ID","Check")</f>
        <v/>
      </c>
    </row>
    <row r="5">
      <c r="A5" s="2">
        <f>Raw_Data!A5</f>
        <v/>
      </c>
      <c r="B5" s="3">
        <f>DATEVALUE(Raw_Data!B5)</f>
        <v/>
      </c>
      <c r="C5" s="2">
        <f>PROPER(TRIM(Raw_Data!C5))</f>
        <v/>
      </c>
      <c r="D5" s="2">
        <f>PROPER(TRIM(Raw_Data!D5))</f>
        <v/>
      </c>
      <c r="E5" s="2">
        <f>Raw_Data!E5</f>
        <v/>
      </c>
      <c r="F5" s="2">
        <f>Raw_Data!F5</f>
        <v/>
      </c>
      <c r="G5" s="2">
        <f>Raw_Data!G5</f>
        <v/>
      </c>
      <c r="H5" s="4">
        <f>Raw_Data!H5</f>
        <v/>
      </c>
      <c r="I5" s="2">
        <f>Raw_Data!I5</f>
        <v/>
      </c>
      <c r="J5" s="2">
        <f>Raw_Data!J5</f>
        <v/>
      </c>
      <c r="K5" s="4">
        <f>G5*H5</f>
        <v/>
      </c>
      <c r="L5" s="2">
        <f>IF(COUNTIF($A$2:A5,A5)&gt;1,"Duplicate ID","Check")</f>
        <v/>
      </c>
    </row>
    <row r="6">
      <c r="A6" s="2">
        <f>Raw_Data!A6</f>
        <v/>
      </c>
      <c r="B6" s="3">
        <f>DATEVALUE(Raw_Data!B6)</f>
        <v/>
      </c>
      <c r="C6" s="2">
        <f>PROPER(TRIM(Raw_Data!C6))</f>
        <v/>
      </c>
      <c r="D6" s="2">
        <f>PROPER(TRIM(Raw_Data!D6))</f>
        <v/>
      </c>
      <c r="E6" s="2">
        <f>Raw_Data!E6</f>
        <v/>
      </c>
      <c r="F6" s="2">
        <f>Raw_Data!F6</f>
        <v/>
      </c>
      <c r="G6" s="2">
        <f>Raw_Data!G6</f>
        <v/>
      </c>
      <c r="H6" s="4">
        <f>Raw_Data!H6</f>
        <v/>
      </c>
      <c r="I6" s="2">
        <f>Raw_Data!I6</f>
        <v/>
      </c>
      <c r="J6" s="2">
        <f>Raw_Data!J6</f>
        <v/>
      </c>
      <c r="K6" s="4">
        <f>G6*H6</f>
        <v/>
      </c>
      <c r="L6" s="2">
        <f>IF(COUNTIF($A$2:A6,A6)&gt;1,"Duplicate ID","Check")</f>
        <v/>
      </c>
    </row>
    <row r="7">
      <c r="A7" s="2">
        <f>Raw_Data!A7</f>
        <v/>
      </c>
      <c r="B7" s="3">
        <f>DATEVALUE(Raw_Data!B7)</f>
        <v/>
      </c>
      <c r="C7" s="2">
        <f>PROPER(TRIM(Raw_Data!C7))</f>
        <v/>
      </c>
      <c r="D7" s="2">
        <f>PROPER(TRIM(Raw_Data!D7))</f>
        <v/>
      </c>
      <c r="E7" s="2">
        <f>Raw_Data!E7</f>
        <v/>
      </c>
      <c r="F7" s="2">
        <f>Raw_Data!F7</f>
        <v/>
      </c>
      <c r="G7" s="2">
        <f>Raw_Data!G7</f>
        <v/>
      </c>
      <c r="H7" s="4">
        <f>Raw_Data!H7</f>
        <v/>
      </c>
      <c r="I7" s="2">
        <f>Raw_Data!I7</f>
        <v/>
      </c>
      <c r="J7" s="2">
        <f>Raw_Data!J7</f>
        <v/>
      </c>
      <c r="K7" s="4">
        <f>G7*H7</f>
        <v/>
      </c>
      <c r="L7" s="2">
        <f>IF(COUNTIF($A$2:A7,A7)&gt;1,"Duplicate ID","Check")</f>
        <v/>
      </c>
    </row>
    <row r="8">
      <c r="A8" s="2">
        <f>Raw_Data!A8</f>
        <v/>
      </c>
      <c r="B8" s="3">
        <f>DATEVALUE(Raw_Data!B8)</f>
        <v/>
      </c>
      <c r="C8" s="2">
        <f>PROPER(TRIM(Raw_Data!C8))</f>
        <v/>
      </c>
      <c r="D8" s="2">
        <f>PROPER(TRIM(Raw_Data!D8))</f>
        <v/>
      </c>
      <c r="E8" s="2">
        <f>Raw_Data!E8</f>
        <v/>
      </c>
      <c r="F8" s="2">
        <f>Raw_Data!F8</f>
        <v/>
      </c>
      <c r="G8" s="2">
        <f>Raw_Data!G8</f>
        <v/>
      </c>
      <c r="H8" s="4">
        <f>Raw_Data!H8</f>
        <v/>
      </c>
      <c r="I8" s="2">
        <f>Raw_Data!I8</f>
        <v/>
      </c>
      <c r="J8" s="2">
        <f>Raw_Data!J8</f>
        <v/>
      </c>
      <c r="K8" s="4">
        <f>G8*H8</f>
        <v/>
      </c>
      <c r="L8" s="2">
        <f>IF(COUNTIF($A$2:A8,A8)&gt;1,"Duplicate ID","Check")</f>
        <v/>
      </c>
    </row>
    <row r="9">
      <c r="A9" s="2">
        <f>Raw_Data!A9</f>
        <v/>
      </c>
      <c r="B9" s="3">
        <f>DATEVALUE(Raw_Data!B9)</f>
        <v/>
      </c>
      <c r="C9" s="2">
        <f>PROPER(TRIM(Raw_Data!C9))</f>
        <v/>
      </c>
      <c r="D9" s="2">
        <f>PROPER(TRIM(Raw_Data!D9))</f>
        <v/>
      </c>
      <c r="E9" s="2">
        <f>Raw_Data!E9</f>
        <v/>
      </c>
      <c r="F9" s="2">
        <f>Raw_Data!F9</f>
        <v/>
      </c>
      <c r="G9" s="2">
        <f>Raw_Data!G9</f>
        <v/>
      </c>
      <c r="H9" s="4">
        <f>Raw_Data!H9</f>
        <v/>
      </c>
      <c r="I9" s="2">
        <f>Raw_Data!I9</f>
        <v/>
      </c>
      <c r="J9" s="2">
        <f>Raw_Data!J9</f>
        <v/>
      </c>
      <c r="K9" s="4">
        <f>G9*H9</f>
        <v/>
      </c>
      <c r="L9" s="2">
        <f>IF(COUNTIF($A$2:A9,A9)&gt;1,"Duplicate ID","Check")</f>
        <v/>
      </c>
    </row>
    <row r="10">
      <c r="A10" s="2">
        <f>Raw_Data!A10</f>
        <v/>
      </c>
      <c r="B10" s="3">
        <f>DATEVALUE(Raw_Data!B10)</f>
        <v/>
      </c>
      <c r="C10" s="2">
        <f>PROPER(TRIM(Raw_Data!C10))</f>
        <v/>
      </c>
      <c r="D10" s="2">
        <f>PROPER(TRIM(Raw_Data!D10))</f>
        <v/>
      </c>
      <c r="E10" s="2">
        <f>Raw_Data!E10</f>
        <v/>
      </c>
      <c r="F10" s="2">
        <f>Raw_Data!F10</f>
        <v/>
      </c>
      <c r="G10" s="2">
        <f>Raw_Data!G10</f>
        <v/>
      </c>
      <c r="H10" s="4">
        <f>Raw_Data!H10</f>
        <v/>
      </c>
      <c r="I10" s="2">
        <f>Raw_Data!I10</f>
        <v/>
      </c>
      <c r="J10" s="2">
        <f>Raw_Data!J10</f>
        <v/>
      </c>
      <c r="K10" s="4">
        <f>G10*H10</f>
        <v/>
      </c>
      <c r="L10" s="2">
        <f>IF(COUNTIF($A$2:A10,A10)&gt;1,"Duplicate ID","Check")</f>
        <v/>
      </c>
    </row>
    <row r="11">
      <c r="A11" s="2">
        <f>Raw_Data!A11</f>
        <v/>
      </c>
      <c r="B11" s="3">
        <f>DATEVALUE(Raw_Data!B11)</f>
        <v/>
      </c>
      <c r="C11" s="2">
        <f>PROPER(TRIM(Raw_Data!C11))</f>
        <v/>
      </c>
      <c r="D11" s="2">
        <f>PROPER(TRIM(Raw_Data!D11))</f>
        <v/>
      </c>
      <c r="E11" s="2">
        <f>Raw_Data!E11</f>
        <v/>
      </c>
      <c r="F11" s="2">
        <f>Raw_Data!F11</f>
        <v/>
      </c>
      <c r="G11" s="2">
        <f>Raw_Data!G11</f>
        <v/>
      </c>
      <c r="H11" s="4">
        <f>Raw_Data!H11</f>
        <v/>
      </c>
      <c r="I11" s="2">
        <f>Raw_Data!I11</f>
        <v/>
      </c>
      <c r="J11" s="2">
        <f>Raw_Data!J11</f>
        <v/>
      </c>
      <c r="K11" s="4">
        <f>G11*H11</f>
        <v/>
      </c>
      <c r="L11" s="2">
        <f>IF(COUNTIF($A$2:A11,A11)&gt;1,"Duplicate ID","Check")</f>
        <v/>
      </c>
    </row>
    <row r="12">
      <c r="A12" s="2">
        <f>Raw_Data!A12</f>
        <v/>
      </c>
      <c r="B12" s="3">
        <f>DATEVALUE(Raw_Data!B12)</f>
        <v/>
      </c>
      <c r="C12" s="2">
        <f>PROPER(TRIM(Raw_Data!C12))</f>
        <v/>
      </c>
      <c r="D12" s="2">
        <f>PROPER(TRIM(Raw_Data!D12))</f>
        <v/>
      </c>
      <c r="E12" s="2">
        <f>Raw_Data!E12</f>
        <v/>
      </c>
      <c r="F12" s="2">
        <f>Raw_Data!F12</f>
        <v/>
      </c>
      <c r="G12" s="2">
        <f>Raw_Data!G12</f>
        <v/>
      </c>
      <c r="H12" s="4">
        <f>Raw_Data!H12</f>
        <v/>
      </c>
      <c r="I12" s="2">
        <f>Raw_Data!I12</f>
        <v/>
      </c>
      <c r="J12" s="2">
        <f>Raw_Data!J12</f>
        <v/>
      </c>
      <c r="K12" s="4">
        <f>G12*H12</f>
        <v/>
      </c>
      <c r="L12" s="2">
        <f>IF(COUNTIF($A$2:A12,A12)&gt;1,"Duplicate ID","Check")</f>
        <v/>
      </c>
    </row>
    <row r="13">
      <c r="A13" s="2">
        <f>Raw_Data!A13</f>
        <v/>
      </c>
      <c r="B13" s="3">
        <f>DATEVALUE(Raw_Data!B13)</f>
        <v/>
      </c>
      <c r="C13" s="2">
        <f>PROPER(TRIM(Raw_Data!C13))</f>
        <v/>
      </c>
      <c r="D13" s="2">
        <f>PROPER(TRIM(Raw_Data!D13))</f>
        <v/>
      </c>
      <c r="E13" s="2">
        <f>Raw_Data!E13</f>
        <v/>
      </c>
      <c r="F13" s="2">
        <f>Raw_Data!F13</f>
        <v/>
      </c>
      <c r="G13" s="2">
        <f>Raw_Data!G13</f>
        <v/>
      </c>
      <c r="H13" s="4">
        <f>Raw_Data!H13</f>
        <v/>
      </c>
      <c r="I13" s="2">
        <f>Raw_Data!I13</f>
        <v/>
      </c>
      <c r="J13" s="2">
        <f>Raw_Data!J13</f>
        <v/>
      </c>
      <c r="K13" s="4">
        <f>G13*H13</f>
        <v/>
      </c>
      <c r="L13" s="2">
        <f>IF(COUNTIF($A$2:A13,A13)&gt;1,"Duplicate ID","Check")</f>
        <v/>
      </c>
    </row>
    <row r="14">
      <c r="A14" s="2">
        <f>Raw_Data!A14</f>
        <v/>
      </c>
      <c r="B14" s="3">
        <f>DATEVALUE(Raw_Data!B14)</f>
        <v/>
      </c>
      <c r="C14" s="2">
        <f>PROPER(TRIM(Raw_Data!C14))</f>
        <v/>
      </c>
      <c r="D14" s="2">
        <f>PROPER(TRIM(Raw_Data!D14))</f>
        <v/>
      </c>
      <c r="E14" s="2">
        <f>Raw_Data!E14</f>
        <v/>
      </c>
      <c r="F14" s="2">
        <f>Raw_Data!F14</f>
        <v/>
      </c>
      <c r="G14" s="2">
        <f>Raw_Data!G14</f>
        <v/>
      </c>
      <c r="H14" s="4">
        <f>Raw_Data!H14</f>
        <v/>
      </c>
      <c r="I14" s="2">
        <f>Raw_Data!I14</f>
        <v/>
      </c>
      <c r="J14" s="2">
        <f>Raw_Data!J14</f>
        <v/>
      </c>
      <c r="K14" s="4">
        <f>G14*H14</f>
        <v/>
      </c>
      <c r="L14" s="2">
        <f>IF(COUNTIF($A$2:A14,A14)&gt;1,"Duplicate ID","Check")</f>
        <v/>
      </c>
    </row>
    <row r="15">
      <c r="A15" s="2">
        <f>Raw_Data!A15</f>
        <v/>
      </c>
      <c r="B15" s="3">
        <f>DATEVALUE(Raw_Data!B15)</f>
        <v/>
      </c>
      <c r="C15" s="2">
        <f>PROPER(TRIM(Raw_Data!C15))</f>
        <v/>
      </c>
      <c r="D15" s="2">
        <f>PROPER(TRIM(Raw_Data!D15))</f>
        <v/>
      </c>
      <c r="E15" s="2">
        <f>Raw_Data!E15</f>
        <v/>
      </c>
      <c r="F15" s="2">
        <f>Raw_Data!F15</f>
        <v/>
      </c>
      <c r="G15" s="2">
        <f>Raw_Data!G15</f>
        <v/>
      </c>
      <c r="H15" s="4">
        <f>Raw_Data!H15</f>
        <v/>
      </c>
      <c r="I15" s="2">
        <f>Raw_Data!I15</f>
        <v/>
      </c>
      <c r="J15" s="2">
        <f>Raw_Data!J15</f>
        <v/>
      </c>
      <c r="K15" s="4">
        <f>G15*H15</f>
        <v/>
      </c>
      <c r="L15" s="2">
        <f>IF(COUNTIF($A$2:A15,A15)&gt;1,"Duplicate ID","Check")</f>
        <v/>
      </c>
    </row>
    <row r="16">
      <c r="A16" s="2">
        <f>Raw_Data!A16</f>
        <v/>
      </c>
      <c r="B16" s="3">
        <f>DATEVALUE(Raw_Data!B16)</f>
        <v/>
      </c>
      <c r="C16" s="2">
        <f>PROPER(TRIM(Raw_Data!C16))</f>
        <v/>
      </c>
      <c r="D16" s="2">
        <f>PROPER(TRIM(Raw_Data!D16))</f>
        <v/>
      </c>
      <c r="E16" s="2">
        <f>Raw_Data!E16</f>
        <v/>
      </c>
      <c r="F16" s="2">
        <f>Raw_Data!F16</f>
        <v/>
      </c>
      <c r="G16" s="2">
        <f>Raw_Data!G16</f>
        <v/>
      </c>
      <c r="H16" s="4">
        <f>Raw_Data!H16</f>
        <v/>
      </c>
      <c r="I16" s="2">
        <f>Raw_Data!I16</f>
        <v/>
      </c>
      <c r="J16" s="2">
        <f>Raw_Data!J16</f>
        <v/>
      </c>
      <c r="K16" s="4">
        <f>G16*H16</f>
        <v/>
      </c>
      <c r="L16" s="2">
        <f>IF(COUNTIF($A$2:A16,A16)&gt;1,"Duplicate ID","Check")</f>
        <v/>
      </c>
    </row>
  </sheetData>
  <conditionalFormatting sqref="L2:L16">
    <cfRule type="dataBar" priority="1">
      <dataBar showValue="1">
        <cfvo type="min"/>
        <cfvo type="max"/>
        <color rgb="00F4B183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5" customWidth="1" min="3" max="3"/>
  </cols>
  <sheetData>
    <row r="1" ht="28" customHeight="1">
      <c r="A1" s="1" t="inlineStr">
        <is>
          <t>Metric</t>
        </is>
      </c>
      <c r="B1" s="1" t="inlineStr">
        <is>
          <t>Formula / Result</t>
        </is>
      </c>
      <c r="C1" s="1" t="inlineStr">
        <is>
          <t>Interpretation</t>
        </is>
      </c>
    </row>
    <row r="2">
      <c r="A2" s="2" t="inlineStr">
        <is>
          <t>Total orders</t>
        </is>
      </c>
      <c r="B2" s="2">
        <f>COUNTA(Cleaned_Data!A2:A16)</f>
        <v/>
      </c>
      <c r="C2" s="2" t="inlineStr">
        <is>
          <t>Counts order records; duplicate IDs should be reviewed separately.</t>
        </is>
      </c>
    </row>
    <row r="3">
      <c r="A3" s="2" t="inlineStr">
        <is>
          <t>Total revenue</t>
        </is>
      </c>
      <c r="B3" s="4">
        <f>SUM(Cleaned_Data!K2:K16)</f>
        <v/>
      </c>
      <c r="C3" s="2" t="inlineStr">
        <is>
          <t>Revenue = Quantity × Unit Price; includes all payment statuses.</t>
        </is>
      </c>
    </row>
    <row r="4">
      <c r="A4" s="2" t="inlineStr">
        <is>
          <t>Paid revenue</t>
        </is>
      </c>
      <c r="B4" s="4">
        <f>SUMIFS(Cleaned_Data!K2:K16,Cleaned_Data!J2:J16,"Paid")</f>
        <v/>
      </c>
      <c r="C4" s="2" t="inlineStr">
        <is>
          <t>Revenue on paid orders only.</t>
        </is>
      </c>
    </row>
    <row r="5">
      <c r="A5" s="2" t="inlineStr">
        <is>
          <t>Pending order count</t>
        </is>
      </c>
      <c r="B5" s="2">
        <f>COUNTIF(Cleaned_Data!J2:J16,"Pending")</f>
        <v/>
      </c>
      <c r="C5" s="2" t="inlineStr">
        <is>
          <t>Orders awaiting payment.</t>
        </is>
      </c>
    </row>
    <row r="6">
      <c r="A6" s="2" t="inlineStr">
        <is>
          <t>Cancelled order count</t>
        </is>
      </c>
      <c r="B6" s="2">
        <f>COUNTIF(Cleaned_Data!J2:J16,"Cancelled")</f>
        <v/>
      </c>
      <c r="C6" s="2" t="inlineStr">
        <is>
          <t>Cancelled orders.</t>
        </is>
      </c>
    </row>
    <row r="7">
      <c r="A7" s="2" t="inlineStr">
        <is>
          <t>Average order value</t>
        </is>
      </c>
      <c r="B7" s="4">
        <f>AVERAGE(Cleaned_Data!K2:K16)</f>
        <v/>
      </c>
      <c r="C7" s="2" t="inlineStr">
        <is>
          <t>Average revenue per order row.</t>
        </is>
      </c>
    </row>
    <row r="8">
      <c r="A8" s="2" t="inlineStr">
        <is>
          <t>Electronics revenue</t>
        </is>
      </c>
      <c r="B8" s="4">
        <f>SUMIF(Cleaned_Data!F2:F16,"Electronics",Cleaned_Data!K2:K16)</f>
        <v/>
      </c>
      <c r="C8" s="2" t="inlineStr">
        <is>
          <t>Revenue from Electronics category.</t>
        </is>
      </c>
    </row>
    <row r="9">
      <c r="A9" s="2" t="inlineStr">
        <is>
          <t>Accessories revenue</t>
        </is>
      </c>
      <c r="B9" s="4">
        <f>SUMIF(Cleaned_Data!F2:F16,"Accessories",Cleaned_Data!K2:K16)</f>
        <v/>
      </c>
      <c r="C9" s="2" t="inlineStr">
        <is>
          <t>Revenue from Accessories category.</t>
        </is>
      </c>
    </row>
    <row r="10">
      <c r="A10" s="2" t="n"/>
      <c r="B10" s="2" t="n"/>
      <c r="C10" s="2" t="n"/>
    </row>
    <row r="11">
      <c r="A11" s="2" t="inlineStr">
        <is>
          <t>Cleaning Operation</t>
        </is>
      </c>
      <c r="B11" s="2" t="inlineStr">
        <is>
          <t>How to do it in Excel</t>
        </is>
      </c>
      <c r="C11" s="2" t="inlineStr">
        <is>
          <t>Why it matters</t>
        </is>
      </c>
    </row>
    <row r="12">
      <c r="A12" s="2" t="inlineStr">
        <is>
          <t>Trim whitespace</t>
        </is>
      </c>
      <c r="B12" s="2">
        <f>TRIM(A2)</f>
        <v/>
      </c>
      <c r="C12" s="2" t="inlineStr">
        <is>
          <t>Removes leading/trailing and repeated spaces.</t>
        </is>
      </c>
    </row>
    <row r="13">
      <c r="A13" s="2" t="inlineStr">
        <is>
          <t>Standardize case</t>
        </is>
      </c>
      <c r="B13" s="2">
        <f>PROPER(A2) or =UPPER(A2)</f>
        <v/>
      </c>
      <c r="C13" s="2" t="inlineStr">
        <is>
          <t>Makes categories consistent; choose case style to suit the field.</t>
        </is>
      </c>
    </row>
    <row r="14">
      <c r="A14" s="2" t="inlineStr">
        <is>
          <t>Remove duplicates</t>
        </is>
      </c>
      <c r="B14" s="2" t="inlineStr">
        <is>
          <t>Data &gt; Remove Duplicates</t>
        </is>
      </c>
      <c r="C14" s="2" t="inlineStr">
        <is>
          <t>Review the key columns first; do not blindly delete legitimate repeat purchases.</t>
        </is>
      </c>
    </row>
    <row r="15">
      <c r="A15" s="2" t="inlineStr">
        <is>
          <t>Handle blanks</t>
        </is>
      </c>
      <c r="B15" s="2" t="inlineStr">
        <is>
          <t>Filter blanks; decide whether to fill, flag, or remove</t>
        </is>
      </c>
      <c r="C15" s="2" t="inlineStr">
        <is>
          <t>Never assume a blank means zero.</t>
        </is>
      </c>
    </row>
    <row r="16">
      <c r="A16" s="2" t="inlineStr">
        <is>
          <t>Convert text dates</t>
        </is>
      </c>
      <c r="B16" s="2" t="inlineStr">
        <is>
          <t>Data &gt; Text to Columns or DATEVALUE</t>
        </is>
      </c>
      <c r="C16" s="2" t="inlineStr">
        <is>
          <t>Confirm locale/date format to avoid swapping day and month.</t>
        </is>
      </c>
    </row>
    <row r="17">
      <c r="A17" s="2" t="inlineStr">
        <is>
          <t>Validate categories</t>
        </is>
      </c>
      <c r="B17" s="2" t="inlineStr">
        <is>
          <t>Data &gt; Data Validation &gt; List</t>
        </is>
      </c>
      <c r="C17" s="2" t="inlineStr">
        <is>
          <t>Restricts statuses to approved values.</t>
        </is>
      </c>
    </row>
    <row r="18">
      <c r="A18" s="2" t="inlineStr">
        <is>
          <t>Calculate derived field</t>
        </is>
      </c>
      <c r="B18" s="2" t="inlineStr">
        <is>
          <t>Quantity * Unit Price</t>
        </is>
      </c>
      <c r="C18" s="2" t="inlineStr">
        <is>
          <t>Makes transformations repeatable and auditable.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2026-10-20T16:32:44Z</dcterms:created>
  <dcterms:modified xmlns:dcterms="http://purl.org/dc/terms/" xmlns:xsi="http://www.w3.org/2001/XMLSchema-instance" xsi:type="dcterms:W3CDTF">2026-10-20T16:32:44Z</dcterms:modified>
</cp:coreProperties>
</file>