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How_to_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₹&quot;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  <color rgb="0017365D"/>
      <sz val="13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'Dashboard'!$E$13:$E$14</f>
            </numRef>
          </cat>
          <val>
            <numRef>
              <f>'Dashboard'!$F$13:$F$14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10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boardSalesData" displayName="DashboardSalesData" ref="A1:J41" headerRowCount="1">
  <autoFilter ref="A1:J41"/>
  <tableColumns count="10">
    <tableColumn id="1" name="Order_ID"/>
    <tableColumn id="2" name="Date"/>
    <tableColumn id="3" name="Region"/>
    <tableColumn id="4" name="Product"/>
    <tableColumn id="5" name="Category"/>
    <tableColumn id="6" name="Units"/>
    <tableColumn id="7" name="Unit_Price"/>
    <tableColumn id="8" name="Revenue"/>
    <tableColumn id="9" name="Sales_Rep"/>
    <tableColumn id="10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48" customWidth="1" min="3" max="3"/>
    <col width="4" customWidth="1" min="4" max="4"/>
    <col width="24" customWidth="1" min="5" max="5"/>
    <col width="20" customWidth="1" min="6" max="6"/>
    <col width="4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SALES PERFORMANCE DASHBOARD</t>
        </is>
      </c>
      <c r="B1" s="2" t="n"/>
      <c r="C1" s="2" t="n"/>
      <c r="D1" s="2" t="n"/>
      <c r="E1" s="2" t="n"/>
      <c r="F1" s="2" t="n"/>
    </row>
    <row r="2">
      <c r="A2" s="3" t="inlineStr">
        <is>
          <t>Formula-driven summary from the Sales_Data worksheet. Open in Excel to recalculate formulas.</t>
        </is>
      </c>
      <c r="B2" s="2" t="n"/>
      <c r="C2" s="2" t="n"/>
      <c r="D2" s="2" t="n"/>
      <c r="E2" s="2" t="n"/>
      <c r="F2" s="2" t="n"/>
    </row>
    <row r="3">
      <c r="A3" s="4" t="n"/>
      <c r="B3" s="4" t="n"/>
      <c r="C3" s="4" t="n"/>
      <c r="D3" s="4" t="n"/>
      <c r="E3" s="4" t="n"/>
      <c r="F3" s="4" t="n"/>
    </row>
    <row r="4">
      <c r="A4" s="5" t="inlineStr">
        <is>
          <t>KPI</t>
        </is>
      </c>
      <c r="B4" s="6" t="inlineStr">
        <is>
          <t>Value</t>
        </is>
      </c>
      <c r="C4" s="5" t="inlineStr">
        <is>
          <t>Meaning</t>
        </is>
      </c>
      <c r="D4" s="2" t="n"/>
      <c r="E4" s="2" t="n"/>
      <c r="F4" s="2" t="n"/>
    </row>
    <row r="5">
      <c r="A5" s="5" t="inlineStr">
        <is>
          <t>Total Revenue</t>
        </is>
      </c>
      <c r="B5" s="7">
        <f>SUM(Sales_Data!H2:H41)</f>
        <v/>
      </c>
      <c r="C5" s="5" t="inlineStr">
        <is>
          <t>Total sales value across all order statuses.</t>
        </is>
      </c>
      <c r="D5" s="2" t="n"/>
      <c r="E5" s="2" t="n"/>
      <c r="F5" s="2" t="n"/>
    </row>
    <row r="6">
      <c r="A6" s="5" t="inlineStr">
        <is>
          <t>Units Sold</t>
        </is>
      </c>
      <c r="B6" s="7">
        <f>SUM(Sales_Data!F2:F41)</f>
        <v/>
      </c>
      <c r="C6" s="5" t="inlineStr">
        <is>
          <t>Total units across all orders.</t>
        </is>
      </c>
      <c r="D6" s="2" t="n"/>
      <c r="E6" s="2" t="n"/>
      <c r="F6" s="2" t="n"/>
    </row>
    <row r="7">
      <c r="A7" s="5" t="inlineStr">
        <is>
          <t>Order Count</t>
        </is>
      </c>
      <c r="B7" s="6">
        <f>COUNTA(Sales_Data!A2:A41)</f>
        <v/>
      </c>
      <c r="C7" s="5" t="inlineStr">
        <is>
          <t>Number of order rows.</t>
        </is>
      </c>
      <c r="D7" s="2" t="n"/>
      <c r="E7" s="2" t="n"/>
      <c r="F7" s="2" t="n"/>
    </row>
    <row r="8">
      <c r="A8" s="5" t="inlineStr">
        <is>
          <t>Paid Revenue</t>
        </is>
      </c>
      <c r="B8" s="6">
        <f>SUMIFS(Sales_Data!H2:H41,Sales_Data!J2:J41,"Paid")</f>
        <v/>
      </c>
      <c r="C8" s="5" t="inlineStr">
        <is>
          <t>Sales value from paid orders.</t>
        </is>
      </c>
      <c r="D8" s="2" t="n"/>
      <c r="E8" s="2" t="n"/>
      <c r="F8" s="2" t="n"/>
    </row>
    <row r="9">
      <c r="A9" s="5" t="inlineStr">
        <is>
          <t>Average Order Revenue</t>
        </is>
      </c>
      <c r="B9" s="5">
        <f>AVERAGE(Sales_Data!H2:H41)</f>
        <v/>
      </c>
      <c r="C9" s="5" t="inlineStr">
        <is>
          <t>Average revenue per order row.</t>
        </is>
      </c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8" t="inlineStr">
        <is>
          <t>Revenue by Region</t>
        </is>
      </c>
      <c r="B11" s="2" t="n"/>
      <c r="C11" s="2" t="n"/>
      <c r="D11" s="2" t="n"/>
      <c r="E11" s="8" t="inlineStr">
        <is>
          <t>Revenue by Category</t>
        </is>
      </c>
      <c r="F11" s="2" t="n"/>
    </row>
    <row r="12">
      <c r="A12" s="9" t="inlineStr">
        <is>
          <t>Region</t>
        </is>
      </c>
      <c r="B12" s="9" t="inlineStr">
        <is>
          <t>Revenue</t>
        </is>
      </c>
      <c r="C12" s="9" t="inlineStr">
        <is>
          <t>Order Count</t>
        </is>
      </c>
      <c r="D12" s="4" t="n"/>
      <c r="E12" s="9" t="inlineStr">
        <is>
          <t>Category</t>
        </is>
      </c>
      <c r="F12" s="9" t="inlineStr">
        <is>
          <t>Revenue</t>
        </is>
      </c>
    </row>
    <row r="13">
      <c r="A13" s="5" t="inlineStr">
        <is>
          <t>West</t>
        </is>
      </c>
      <c r="B13" s="6">
        <f>SUMIF(Sales_Data!$C$2:$C$41,A13,Sales_Data!$H$2:$H$41)</f>
        <v/>
      </c>
      <c r="C13" s="5">
        <f>COUNTIF(Sales_Data!$C$2:$C$41,A13)</f>
        <v/>
      </c>
      <c r="D13" s="2" t="n"/>
      <c r="E13" s="5" t="inlineStr">
        <is>
          <t>Electronics</t>
        </is>
      </c>
      <c r="F13" s="6">
        <f>SUMIF(Sales_Data!$E$2:$E$41,E13,Sales_Data!$H$2:$H$41)</f>
        <v/>
      </c>
    </row>
    <row r="14">
      <c r="A14" s="5" t="inlineStr">
        <is>
          <t>North</t>
        </is>
      </c>
      <c r="B14" s="6">
        <f>SUMIF(Sales_Data!$C$2:$C$41,A14,Sales_Data!$H$2:$H$41)</f>
        <v/>
      </c>
      <c r="C14" s="5">
        <f>COUNTIF(Sales_Data!$C$2:$C$41,A14)</f>
        <v/>
      </c>
      <c r="D14" s="2" t="n"/>
      <c r="E14" s="5" t="inlineStr">
        <is>
          <t>Accessories</t>
        </is>
      </c>
      <c r="F14" s="6">
        <f>SUMIF(Sales_Data!$E$2:$E$41,E14,Sales_Data!$H$2:$H$41)</f>
        <v/>
      </c>
    </row>
    <row r="15">
      <c r="A15" s="5" t="inlineStr">
        <is>
          <t>South</t>
        </is>
      </c>
      <c r="B15" s="6">
        <f>SUMIF(Sales_Data!$C$2:$C$41,A15,Sales_Data!$H$2:$H$41)</f>
        <v/>
      </c>
      <c r="C15" s="5">
        <f>COUNTIF(Sales_Data!$C$2:$C$41,A15)</f>
        <v/>
      </c>
      <c r="D15" s="2" t="n"/>
      <c r="E15" s="2" t="n"/>
      <c r="F15" s="2" t="n"/>
    </row>
    <row r="16">
      <c r="A16" s="5" t="inlineStr">
        <is>
          <t>East</t>
        </is>
      </c>
      <c r="B16" s="6">
        <f>SUMIF(Sales_Data!$C$2:$C$41,A16,Sales_Data!$H$2:$H$41)</f>
        <v/>
      </c>
      <c r="C16" s="5">
        <f>COUNTIF(Sales_Data!$C$2:$C$41,A16)</f>
        <v/>
      </c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8" t="inlineStr">
        <is>
          <t>Orders by Status</t>
        </is>
      </c>
      <c r="B19" s="2" t="n"/>
      <c r="C19" s="2" t="n"/>
      <c r="D19" s="2" t="n"/>
      <c r="E19" s="2" t="n"/>
      <c r="F19" s="2" t="n"/>
    </row>
    <row r="20">
      <c r="A20" s="9" t="inlineStr">
        <is>
          <t>Status</t>
        </is>
      </c>
      <c r="B20" s="9" t="inlineStr">
        <is>
          <t>Orders</t>
        </is>
      </c>
      <c r="C20" s="4" t="n"/>
      <c r="D20" s="4" t="n"/>
      <c r="E20" s="4" t="n"/>
      <c r="F20" s="4" t="n"/>
    </row>
    <row r="21">
      <c r="A21" s="5" t="inlineStr">
        <is>
          <t>Paid</t>
        </is>
      </c>
      <c r="B21" s="5">
        <f>COUNTIF(Sales_Data!$J$2:$J$41,A21)</f>
        <v/>
      </c>
      <c r="C21" s="2" t="n"/>
      <c r="D21" s="2" t="n"/>
      <c r="E21" s="2" t="n"/>
      <c r="F21" s="2" t="n"/>
    </row>
    <row r="22">
      <c r="A22" s="5" t="inlineStr">
        <is>
          <t>Pending</t>
        </is>
      </c>
      <c r="B22" s="5">
        <f>COUNTIF(Sales_Data!$J$2:$J$41,A22)</f>
        <v/>
      </c>
      <c r="C22" s="2" t="n"/>
      <c r="D22" s="2" t="n"/>
      <c r="E22" s="2" t="n"/>
      <c r="F22" s="2" t="n"/>
    </row>
    <row r="23">
      <c r="A23" s="5" t="inlineStr">
        <is>
          <t>Cancelled</t>
        </is>
      </c>
      <c r="B23" s="5">
        <f>COUNTIF(Sales_Data!$J$2:$J$41,A23)</f>
        <v/>
      </c>
      <c r="C23" s="2" t="n"/>
      <c r="D23" s="2" t="n"/>
      <c r="E23" s="2" t="n"/>
      <c r="F23" s="2" t="n"/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0" customWidth="1" min="6" max="6"/>
    <col width="15" customWidth="1" min="7" max="7"/>
    <col width="16" customWidth="1" min="8" max="8"/>
    <col width="15" customWidth="1" min="9" max="9"/>
    <col width="15" customWidth="1" min="10" max="10"/>
  </cols>
  <sheetData>
    <row r="1" ht="28" customHeight="1">
      <c r="A1" s="9" t="inlineStr">
        <is>
          <t>Order_ID</t>
        </is>
      </c>
      <c r="B1" s="9" t="inlineStr">
        <is>
          <t>Date</t>
        </is>
      </c>
      <c r="C1" s="9" t="inlineStr">
        <is>
          <t>Region</t>
        </is>
      </c>
      <c r="D1" s="9" t="inlineStr">
        <is>
          <t>Product</t>
        </is>
      </c>
      <c r="E1" s="9" t="inlineStr">
        <is>
          <t>Category</t>
        </is>
      </c>
      <c r="F1" s="9" t="inlineStr">
        <is>
          <t>Units</t>
        </is>
      </c>
      <c r="G1" s="9" t="inlineStr">
        <is>
          <t>Unit_Price</t>
        </is>
      </c>
      <c r="H1" s="9" t="inlineStr">
        <is>
          <t>Revenue</t>
        </is>
      </c>
      <c r="I1" s="9" t="inlineStr">
        <is>
          <t>Sales_Rep</t>
        </is>
      </c>
      <c r="J1" s="9" t="inlineStr">
        <is>
          <t>Status</t>
        </is>
      </c>
    </row>
    <row r="2">
      <c r="A2" s="5" t="inlineStr">
        <is>
          <t>SO-2001</t>
        </is>
      </c>
      <c r="B2" s="10" t="inlineStr">
        <is>
          <t>2026-02-02</t>
        </is>
      </c>
      <c r="C2" s="5" t="inlineStr">
        <is>
          <t>East</t>
        </is>
      </c>
      <c r="D2" s="5" t="inlineStr">
        <is>
          <t>Mouse</t>
        </is>
      </c>
      <c r="E2" s="5" t="inlineStr">
        <is>
          <t>Accessories</t>
        </is>
      </c>
      <c r="F2" s="5" t="n">
        <v>2</v>
      </c>
      <c r="G2" s="6" t="n">
        <v>650</v>
      </c>
      <c r="H2" s="6">
        <f>F2*G2</f>
        <v/>
      </c>
      <c r="I2" s="5" t="inlineStr">
        <is>
          <t>Rahul</t>
        </is>
      </c>
      <c r="J2" s="5" t="inlineStr">
        <is>
          <t>Paid</t>
        </is>
      </c>
    </row>
    <row r="3">
      <c r="A3" s="5" t="inlineStr">
        <is>
          <t>SO-2002</t>
        </is>
      </c>
      <c r="B3" s="10" t="inlineStr">
        <is>
          <t>2026-03-03</t>
        </is>
      </c>
      <c r="C3" s="5" t="inlineStr">
        <is>
          <t>South</t>
        </is>
      </c>
      <c r="D3" s="5" t="inlineStr">
        <is>
          <t>Laptop</t>
        </is>
      </c>
      <c r="E3" s="5" t="inlineStr">
        <is>
          <t>Electronics</t>
        </is>
      </c>
      <c r="F3" s="5" t="n">
        <v>3</v>
      </c>
      <c r="G3" s="6" t="n">
        <v>55000</v>
      </c>
      <c r="H3" s="6">
        <f>F3*G3</f>
        <v/>
      </c>
      <c r="I3" s="5" t="inlineStr">
        <is>
          <t>Zoya</t>
        </is>
      </c>
      <c r="J3" s="5" t="inlineStr">
        <is>
          <t>Pending</t>
        </is>
      </c>
    </row>
    <row r="4">
      <c r="A4" s="5" t="inlineStr">
        <is>
          <t>SO-2003</t>
        </is>
      </c>
      <c r="B4" s="10" t="inlineStr">
        <is>
          <t>2026-01-04</t>
        </is>
      </c>
      <c r="C4" s="5" t="inlineStr">
        <is>
          <t>South</t>
        </is>
      </c>
      <c r="D4" s="5" t="inlineStr">
        <is>
          <t>Mouse</t>
        </is>
      </c>
      <c r="E4" s="5" t="inlineStr">
        <is>
          <t>Accessories</t>
        </is>
      </c>
      <c r="F4" s="5" t="n">
        <v>4</v>
      </c>
      <c r="G4" s="6" t="n">
        <v>650</v>
      </c>
      <c r="H4" s="6">
        <f>F4*G4</f>
        <v/>
      </c>
      <c r="I4" s="5" t="inlineStr">
        <is>
          <t>Aman</t>
        </is>
      </c>
      <c r="J4" s="5" t="inlineStr">
        <is>
          <t>Paid</t>
        </is>
      </c>
    </row>
    <row r="5">
      <c r="A5" s="5" t="inlineStr">
        <is>
          <t>SO-2004</t>
        </is>
      </c>
      <c r="B5" s="10" t="inlineStr">
        <is>
          <t>2026-02-05</t>
        </is>
      </c>
      <c r="C5" s="5" t="inlineStr">
        <is>
          <t>North</t>
        </is>
      </c>
      <c r="D5" s="5" t="inlineStr">
        <is>
          <t>Monitor</t>
        </is>
      </c>
      <c r="E5" s="5" t="inlineStr">
        <is>
          <t>Electronics</t>
        </is>
      </c>
      <c r="F5" s="5" t="n">
        <v>5</v>
      </c>
      <c r="G5" s="6" t="n">
        <v>12500</v>
      </c>
      <c r="H5" s="6">
        <f>F5*G5</f>
        <v/>
      </c>
      <c r="I5" s="5" t="inlineStr">
        <is>
          <t>Neha</t>
        </is>
      </c>
      <c r="J5" s="5" t="inlineStr">
        <is>
          <t>Cancelled</t>
        </is>
      </c>
    </row>
    <row r="6">
      <c r="A6" s="5" t="inlineStr">
        <is>
          <t>SO-2005</t>
        </is>
      </c>
      <c r="B6" s="10" t="inlineStr">
        <is>
          <t>2026-03-06</t>
        </is>
      </c>
      <c r="C6" s="5" t="inlineStr">
        <is>
          <t>West</t>
        </is>
      </c>
      <c r="D6" s="5" t="inlineStr">
        <is>
          <t>Webcam</t>
        </is>
      </c>
      <c r="E6" s="5" t="inlineStr">
        <is>
          <t>Accessories</t>
        </is>
      </c>
      <c r="F6" s="5" t="n">
        <v>1</v>
      </c>
      <c r="G6" s="6" t="n">
        <v>1800</v>
      </c>
      <c r="H6" s="6">
        <f>F6*G6</f>
        <v/>
      </c>
      <c r="I6" s="5" t="inlineStr">
        <is>
          <t>Aisha</t>
        </is>
      </c>
      <c r="J6" s="5" t="inlineStr">
        <is>
          <t>Paid</t>
        </is>
      </c>
    </row>
    <row r="7">
      <c r="A7" s="5" t="inlineStr">
        <is>
          <t>SO-2006</t>
        </is>
      </c>
      <c r="B7" s="10" t="inlineStr">
        <is>
          <t>2026-01-07</t>
        </is>
      </c>
      <c r="C7" s="5" t="inlineStr">
        <is>
          <t>West</t>
        </is>
      </c>
      <c r="D7" s="5" t="inlineStr">
        <is>
          <t>Monitor</t>
        </is>
      </c>
      <c r="E7" s="5" t="inlineStr">
        <is>
          <t>Electronics</t>
        </is>
      </c>
      <c r="F7" s="5" t="n">
        <v>2</v>
      </c>
      <c r="G7" s="6" t="n">
        <v>12500</v>
      </c>
      <c r="H7" s="6">
        <f>F7*G7</f>
        <v/>
      </c>
      <c r="I7" s="5" t="inlineStr">
        <is>
          <t>Rahul</t>
        </is>
      </c>
      <c r="J7" s="5" t="inlineStr">
        <is>
          <t>Paid</t>
        </is>
      </c>
    </row>
    <row r="8">
      <c r="A8" s="5" t="inlineStr">
        <is>
          <t>SO-2007</t>
        </is>
      </c>
      <c r="B8" s="10" t="inlineStr">
        <is>
          <t>2026-02-08</t>
        </is>
      </c>
      <c r="C8" s="5" t="inlineStr">
        <is>
          <t>East</t>
        </is>
      </c>
      <c r="D8" s="5" t="inlineStr">
        <is>
          <t>Webcam</t>
        </is>
      </c>
      <c r="E8" s="5" t="inlineStr">
        <is>
          <t>Accessories</t>
        </is>
      </c>
      <c r="F8" s="5" t="n">
        <v>3</v>
      </c>
      <c r="G8" s="6" t="n">
        <v>1800</v>
      </c>
      <c r="H8" s="6">
        <f>F8*G8</f>
        <v/>
      </c>
      <c r="I8" s="5" t="inlineStr">
        <is>
          <t>Zoya</t>
        </is>
      </c>
      <c r="J8" s="5" t="inlineStr">
        <is>
          <t>Pending</t>
        </is>
      </c>
    </row>
    <row r="9">
      <c r="A9" s="5" t="inlineStr">
        <is>
          <t>SO-2008</t>
        </is>
      </c>
      <c r="B9" s="10" t="inlineStr">
        <is>
          <t>2026-03-09</t>
        </is>
      </c>
      <c r="C9" s="5" t="inlineStr">
        <is>
          <t>South</t>
        </is>
      </c>
      <c r="D9" s="5" t="inlineStr">
        <is>
          <t>Keyboard</t>
        </is>
      </c>
      <c r="E9" s="5" t="inlineStr">
        <is>
          <t>Accessories</t>
        </is>
      </c>
      <c r="F9" s="5" t="n">
        <v>4</v>
      </c>
      <c r="G9" s="6" t="n">
        <v>1200</v>
      </c>
      <c r="H9" s="6">
        <f>F9*G9</f>
        <v/>
      </c>
      <c r="I9" s="5" t="inlineStr">
        <is>
          <t>Aman</t>
        </is>
      </c>
      <c r="J9" s="5" t="inlineStr">
        <is>
          <t>Paid</t>
        </is>
      </c>
    </row>
    <row r="10">
      <c r="A10" s="5" t="inlineStr">
        <is>
          <t>SO-2009</t>
        </is>
      </c>
      <c r="B10" s="10" t="inlineStr">
        <is>
          <t>2026-01-10</t>
        </is>
      </c>
      <c r="C10" s="5" t="inlineStr">
        <is>
          <t>South</t>
        </is>
      </c>
      <c r="D10" s="5" t="inlineStr">
        <is>
          <t>Tablet</t>
        </is>
      </c>
      <c r="E10" s="5" t="inlineStr">
        <is>
          <t>Electronics</t>
        </is>
      </c>
      <c r="F10" s="5" t="n">
        <v>5</v>
      </c>
      <c r="G10" s="6" t="n">
        <v>22000</v>
      </c>
      <c r="H10" s="6">
        <f>F10*G10</f>
        <v/>
      </c>
      <c r="I10" s="5" t="inlineStr">
        <is>
          <t>Neha</t>
        </is>
      </c>
      <c r="J10" s="5" t="inlineStr">
        <is>
          <t>Cancelled</t>
        </is>
      </c>
    </row>
    <row r="11">
      <c r="A11" s="5" t="inlineStr">
        <is>
          <t>SO-2010</t>
        </is>
      </c>
      <c r="B11" s="10" t="inlineStr">
        <is>
          <t>2026-02-11</t>
        </is>
      </c>
      <c r="C11" s="5" t="inlineStr">
        <is>
          <t>North</t>
        </is>
      </c>
      <c r="D11" s="5" t="inlineStr">
        <is>
          <t>Keyboard</t>
        </is>
      </c>
      <c r="E11" s="5" t="inlineStr">
        <is>
          <t>Accessories</t>
        </is>
      </c>
      <c r="F11" s="5" t="n">
        <v>1</v>
      </c>
      <c r="G11" s="6" t="n">
        <v>1200</v>
      </c>
      <c r="H11" s="6">
        <f>F11*G11</f>
        <v/>
      </c>
      <c r="I11" s="5" t="inlineStr">
        <is>
          <t>Aisha</t>
        </is>
      </c>
      <c r="J11" s="5" t="inlineStr">
        <is>
          <t>Paid</t>
        </is>
      </c>
    </row>
    <row r="12">
      <c r="A12" s="5" t="inlineStr">
        <is>
          <t>SO-2011</t>
        </is>
      </c>
      <c r="B12" s="10" t="inlineStr">
        <is>
          <t>2026-03-12</t>
        </is>
      </c>
      <c r="C12" s="5" t="inlineStr">
        <is>
          <t>West</t>
        </is>
      </c>
      <c r="D12" s="5" t="inlineStr">
        <is>
          <t>Tablet</t>
        </is>
      </c>
      <c r="E12" s="5" t="inlineStr">
        <is>
          <t>Electronics</t>
        </is>
      </c>
      <c r="F12" s="5" t="n">
        <v>2</v>
      </c>
      <c r="G12" s="6" t="n">
        <v>22000</v>
      </c>
      <c r="H12" s="6">
        <f>F12*G12</f>
        <v/>
      </c>
      <c r="I12" s="5" t="inlineStr">
        <is>
          <t>Rahul</t>
        </is>
      </c>
      <c r="J12" s="5" t="inlineStr">
        <is>
          <t>Paid</t>
        </is>
      </c>
    </row>
    <row r="13">
      <c r="A13" s="5" t="inlineStr">
        <is>
          <t>SO-2012</t>
        </is>
      </c>
      <c r="B13" s="10" t="inlineStr">
        <is>
          <t>2026-01-13</t>
        </is>
      </c>
      <c r="C13" s="5" t="inlineStr">
        <is>
          <t>West</t>
        </is>
      </c>
      <c r="D13" s="5" t="inlineStr">
        <is>
          <t>Mouse</t>
        </is>
      </c>
      <c r="E13" s="5" t="inlineStr">
        <is>
          <t>Accessories</t>
        </is>
      </c>
      <c r="F13" s="5" t="n">
        <v>3</v>
      </c>
      <c r="G13" s="6" t="n">
        <v>650</v>
      </c>
      <c r="H13" s="6">
        <f>F13*G13</f>
        <v/>
      </c>
      <c r="I13" s="5" t="inlineStr">
        <is>
          <t>Zoya</t>
        </is>
      </c>
      <c r="J13" s="5" t="inlineStr">
        <is>
          <t>Pending</t>
        </is>
      </c>
    </row>
    <row r="14">
      <c r="A14" s="5" t="inlineStr">
        <is>
          <t>SO-2013</t>
        </is>
      </c>
      <c r="B14" s="10" t="inlineStr">
        <is>
          <t>2026-02-14</t>
        </is>
      </c>
      <c r="C14" s="5" t="inlineStr">
        <is>
          <t>East</t>
        </is>
      </c>
      <c r="D14" s="5" t="inlineStr">
        <is>
          <t>Laptop</t>
        </is>
      </c>
      <c r="E14" s="5" t="inlineStr">
        <is>
          <t>Electronics</t>
        </is>
      </c>
      <c r="F14" s="5" t="n">
        <v>4</v>
      </c>
      <c r="G14" s="6" t="n">
        <v>55000</v>
      </c>
      <c r="H14" s="6">
        <f>F14*G14</f>
        <v/>
      </c>
      <c r="I14" s="5" t="inlineStr">
        <is>
          <t>Aman</t>
        </is>
      </c>
      <c r="J14" s="5" t="inlineStr">
        <is>
          <t>Paid</t>
        </is>
      </c>
    </row>
    <row r="15">
      <c r="A15" s="5" t="inlineStr">
        <is>
          <t>SO-2014</t>
        </is>
      </c>
      <c r="B15" s="10" t="inlineStr">
        <is>
          <t>2026-03-15</t>
        </is>
      </c>
      <c r="C15" s="5" t="inlineStr">
        <is>
          <t>South</t>
        </is>
      </c>
      <c r="D15" s="5" t="inlineStr">
        <is>
          <t>Mouse</t>
        </is>
      </c>
      <c r="E15" s="5" t="inlineStr">
        <is>
          <t>Accessories</t>
        </is>
      </c>
      <c r="F15" s="5" t="n">
        <v>5</v>
      </c>
      <c r="G15" s="6" t="n">
        <v>650</v>
      </c>
      <c r="H15" s="6">
        <f>F15*G15</f>
        <v/>
      </c>
      <c r="I15" s="5" t="inlineStr">
        <is>
          <t>Neha</t>
        </is>
      </c>
      <c r="J15" s="5" t="inlineStr">
        <is>
          <t>Cancelled</t>
        </is>
      </c>
    </row>
    <row r="16">
      <c r="A16" s="5" t="inlineStr">
        <is>
          <t>SO-2015</t>
        </is>
      </c>
      <c r="B16" s="10" t="inlineStr">
        <is>
          <t>2026-01-16</t>
        </is>
      </c>
      <c r="C16" s="5" t="inlineStr">
        <is>
          <t>South</t>
        </is>
      </c>
      <c r="D16" s="5" t="inlineStr">
        <is>
          <t>Laptop</t>
        </is>
      </c>
      <c r="E16" s="5" t="inlineStr">
        <is>
          <t>Electronics</t>
        </is>
      </c>
      <c r="F16" s="5" t="n">
        <v>1</v>
      </c>
      <c r="G16" s="6" t="n">
        <v>55000</v>
      </c>
      <c r="H16" s="6">
        <f>F16*G16</f>
        <v/>
      </c>
      <c r="I16" s="5" t="inlineStr">
        <is>
          <t>Aisha</t>
        </is>
      </c>
      <c r="J16" s="5" t="inlineStr">
        <is>
          <t>Paid</t>
        </is>
      </c>
    </row>
    <row r="17">
      <c r="A17" s="5" t="inlineStr">
        <is>
          <t>SO-2016</t>
        </is>
      </c>
      <c r="B17" s="10" t="inlineStr">
        <is>
          <t>2026-02-17</t>
        </is>
      </c>
      <c r="C17" s="5" t="inlineStr">
        <is>
          <t>North</t>
        </is>
      </c>
      <c r="D17" s="5" t="inlineStr">
        <is>
          <t>Webcam</t>
        </is>
      </c>
      <c r="E17" s="5" t="inlineStr">
        <is>
          <t>Accessories</t>
        </is>
      </c>
      <c r="F17" s="5" t="n">
        <v>2</v>
      </c>
      <c r="G17" s="6" t="n">
        <v>1800</v>
      </c>
      <c r="H17" s="6">
        <f>F17*G17</f>
        <v/>
      </c>
      <c r="I17" s="5" t="inlineStr">
        <is>
          <t>Rahul</t>
        </is>
      </c>
      <c r="J17" s="5" t="inlineStr">
        <is>
          <t>Paid</t>
        </is>
      </c>
    </row>
    <row r="18">
      <c r="A18" s="5" t="inlineStr">
        <is>
          <t>SO-2017</t>
        </is>
      </c>
      <c r="B18" s="10" t="inlineStr">
        <is>
          <t>2026-03-18</t>
        </is>
      </c>
      <c r="C18" s="5" t="inlineStr">
        <is>
          <t>West</t>
        </is>
      </c>
      <c r="D18" s="5" t="inlineStr">
        <is>
          <t>Monitor</t>
        </is>
      </c>
      <c r="E18" s="5" t="inlineStr">
        <is>
          <t>Electronics</t>
        </is>
      </c>
      <c r="F18" s="5" t="n">
        <v>3</v>
      </c>
      <c r="G18" s="6" t="n">
        <v>12500</v>
      </c>
      <c r="H18" s="6">
        <f>F18*G18</f>
        <v/>
      </c>
      <c r="I18" s="5" t="inlineStr">
        <is>
          <t>Zoya</t>
        </is>
      </c>
      <c r="J18" s="5" t="inlineStr">
        <is>
          <t>Pending</t>
        </is>
      </c>
    </row>
    <row r="19">
      <c r="A19" s="5" t="inlineStr">
        <is>
          <t>SO-2018</t>
        </is>
      </c>
      <c r="B19" s="10" t="inlineStr">
        <is>
          <t>2026-01-19</t>
        </is>
      </c>
      <c r="C19" s="5" t="inlineStr">
        <is>
          <t>West</t>
        </is>
      </c>
      <c r="D19" s="5" t="inlineStr">
        <is>
          <t>Webcam</t>
        </is>
      </c>
      <c r="E19" s="5" t="inlineStr">
        <is>
          <t>Accessories</t>
        </is>
      </c>
      <c r="F19" s="5" t="n">
        <v>4</v>
      </c>
      <c r="G19" s="6" t="n">
        <v>1800</v>
      </c>
      <c r="H19" s="6">
        <f>F19*G19</f>
        <v/>
      </c>
      <c r="I19" s="5" t="inlineStr">
        <is>
          <t>Aman</t>
        </is>
      </c>
      <c r="J19" s="5" t="inlineStr">
        <is>
          <t>Paid</t>
        </is>
      </c>
    </row>
    <row r="20">
      <c r="A20" s="5" t="inlineStr">
        <is>
          <t>SO-2019</t>
        </is>
      </c>
      <c r="B20" s="10" t="inlineStr">
        <is>
          <t>2026-02-20</t>
        </is>
      </c>
      <c r="C20" s="5" t="inlineStr">
        <is>
          <t>East</t>
        </is>
      </c>
      <c r="D20" s="5" t="inlineStr">
        <is>
          <t>Monitor</t>
        </is>
      </c>
      <c r="E20" s="5" t="inlineStr">
        <is>
          <t>Electronics</t>
        </is>
      </c>
      <c r="F20" s="5" t="n">
        <v>5</v>
      </c>
      <c r="G20" s="6" t="n">
        <v>12500</v>
      </c>
      <c r="H20" s="6">
        <f>F20*G20</f>
        <v/>
      </c>
      <c r="I20" s="5" t="inlineStr">
        <is>
          <t>Neha</t>
        </is>
      </c>
      <c r="J20" s="5" t="inlineStr">
        <is>
          <t>Cancelled</t>
        </is>
      </c>
    </row>
    <row r="21">
      <c r="A21" s="5" t="inlineStr">
        <is>
          <t>SO-2020</t>
        </is>
      </c>
      <c r="B21" s="10" t="inlineStr">
        <is>
          <t>2026-03-21</t>
        </is>
      </c>
      <c r="C21" s="5" t="inlineStr">
        <is>
          <t>South</t>
        </is>
      </c>
      <c r="D21" s="5" t="inlineStr">
        <is>
          <t>Tablet</t>
        </is>
      </c>
      <c r="E21" s="5" t="inlineStr">
        <is>
          <t>Electronics</t>
        </is>
      </c>
      <c r="F21" s="5" t="n">
        <v>1</v>
      </c>
      <c r="G21" s="6" t="n">
        <v>22000</v>
      </c>
      <c r="H21" s="6">
        <f>F21*G21</f>
        <v/>
      </c>
      <c r="I21" s="5" t="inlineStr">
        <is>
          <t>Aisha</t>
        </is>
      </c>
      <c r="J21" s="5" t="inlineStr">
        <is>
          <t>Paid</t>
        </is>
      </c>
    </row>
    <row r="22">
      <c r="A22" s="5" t="inlineStr">
        <is>
          <t>SO-2021</t>
        </is>
      </c>
      <c r="B22" s="10" t="inlineStr">
        <is>
          <t>2026-01-22</t>
        </is>
      </c>
      <c r="C22" s="5" t="inlineStr">
        <is>
          <t>South</t>
        </is>
      </c>
      <c r="D22" s="5" t="inlineStr">
        <is>
          <t>Keyboard</t>
        </is>
      </c>
      <c r="E22" s="5" t="inlineStr">
        <is>
          <t>Accessories</t>
        </is>
      </c>
      <c r="F22" s="5" t="n">
        <v>2</v>
      </c>
      <c r="G22" s="6" t="n">
        <v>1200</v>
      </c>
      <c r="H22" s="6">
        <f>F22*G22</f>
        <v/>
      </c>
      <c r="I22" s="5" t="inlineStr">
        <is>
          <t>Rahul</t>
        </is>
      </c>
      <c r="J22" s="5" t="inlineStr">
        <is>
          <t>Paid</t>
        </is>
      </c>
    </row>
    <row r="23">
      <c r="A23" s="5" t="inlineStr">
        <is>
          <t>SO-2022</t>
        </is>
      </c>
      <c r="B23" s="10" t="inlineStr">
        <is>
          <t>2026-02-23</t>
        </is>
      </c>
      <c r="C23" s="5" t="inlineStr">
        <is>
          <t>North</t>
        </is>
      </c>
      <c r="D23" s="5" t="inlineStr">
        <is>
          <t>Tablet</t>
        </is>
      </c>
      <c r="E23" s="5" t="inlineStr">
        <is>
          <t>Electronics</t>
        </is>
      </c>
      <c r="F23" s="5" t="n">
        <v>3</v>
      </c>
      <c r="G23" s="6" t="n">
        <v>22000</v>
      </c>
      <c r="H23" s="6">
        <f>F23*G23</f>
        <v/>
      </c>
      <c r="I23" s="5" t="inlineStr">
        <is>
          <t>Zoya</t>
        </is>
      </c>
      <c r="J23" s="5" t="inlineStr">
        <is>
          <t>Pending</t>
        </is>
      </c>
    </row>
    <row r="24">
      <c r="A24" s="5" t="inlineStr">
        <is>
          <t>SO-2023</t>
        </is>
      </c>
      <c r="B24" s="10" t="inlineStr">
        <is>
          <t>2026-03-24</t>
        </is>
      </c>
      <c r="C24" s="5" t="inlineStr">
        <is>
          <t>West</t>
        </is>
      </c>
      <c r="D24" s="5" t="inlineStr">
        <is>
          <t>Keyboard</t>
        </is>
      </c>
      <c r="E24" s="5" t="inlineStr">
        <is>
          <t>Accessories</t>
        </is>
      </c>
      <c r="F24" s="5" t="n">
        <v>4</v>
      </c>
      <c r="G24" s="6" t="n">
        <v>1200</v>
      </c>
      <c r="H24" s="6">
        <f>F24*G24</f>
        <v/>
      </c>
      <c r="I24" s="5" t="inlineStr">
        <is>
          <t>Aman</t>
        </is>
      </c>
      <c r="J24" s="5" t="inlineStr">
        <is>
          <t>Paid</t>
        </is>
      </c>
    </row>
    <row r="25">
      <c r="A25" s="5" t="inlineStr">
        <is>
          <t>SO-2024</t>
        </is>
      </c>
      <c r="B25" s="10" t="inlineStr">
        <is>
          <t>2026-01-25</t>
        </is>
      </c>
      <c r="C25" s="5" t="inlineStr">
        <is>
          <t>West</t>
        </is>
      </c>
      <c r="D25" s="5" t="inlineStr">
        <is>
          <t>Laptop</t>
        </is>
      </c>
      <c r="E25" s="5" t="inlineStr">
        <is>
          <t>Electronics</t>
        </is>
      </c>
      <c r="F25" s="5" t="n">
        <v>5</v>
      </c>
      <c r="G25" s="6" t="n">
        <v>55000</v>
      </c>
      <c r="H25" s="6">
        <f>F25*G25</f>
        <v/>
      </c>
      <c r="I25" s="5" t="inlineStr">
        <is>
          <t>Neha</t>
        </is>
      </c>
      <c r="J25" s="5" t="inlineStr">
        <is>
          <t>Cancelled</t>
        </is>
      </c>
    </row>
    <row r="26">
      <c r="A26" s="5" t="inlineStr">
        <is>
          <t>SO-2025</t>
        </is>
      </c>
      <c r="B26" s="10" t="inlineStr">
        <is>
          <t>2026-02-26</t>
        </is>
      </c>
      <c r="C26" s="5" t="inlineStr">
        <is>
          <t>East</t>
        </is>
      </c>
      <c r="D26" s="5" t="inlineStr">
        <is>
          <t>Mouse</t>
        </is>
      </c>
      <c r="E26" s="5" t="inlineStr">
        <is>
          <t>Accessories</t>
        </is>
      </c>
      <c r="F26" s="5" t="n">
        <v>1</v>
      </c>
      <c r="G26" s="6" t="n">
        <v>650</v>
      </c>
      <c r="H26" s="6">
        <f>F26*G26</f>
        <v/>
      </c>
      <c r="I26" s="5" t="inlineStr">
        <is>
          <t>Aisha</t>
        </is>
      </c>
      <c r="J26" s="5" t="inlineStr">
        <is>
          <t>Paid</t>
        </is>
      </c>
    </row>
    <row r="27">
      <c r="A27" s="5" t="inlineStr">
        <is>
          <t>SO-2026</t>
        </is>
      </c>
      <c r="B27" s="10" t="inlineStr">
        <is>
          <t>2026-03-27</t>
        </is>
      </c>
      <c r="C27" s="5" t="inlineStr">
        <is>
          <t>South</t>
        </is>
      </c>
      <c r="D27" s="5" t="inlineStr">
        <is>
          <t>Laptop</t>
        </is>
      </c>
      <c r="E27" s="5" t="inlineStr">
        <is>
          <t>Electronics</t>
        </is>
      </c>
      <c r="F27" s="5" t="n">
        <v>2</v>
      </c>
      <c r="G27" s="6" t="n">
        <v>55000</v>
      </c>
      <c r="H27" s="6">
        <f>F27*G27</f>
        <v/>
      </c>
      <c r="I27" s="5" t="inlineStr">
        <is>
          <t>Rahul</t>
        </is>
      </c>
      <c r="J27" s="5" t="inlineStr">
        <is>
          <t>Paid</t>
        </is>
      </c>
    </row>
    <row r="28">
      <c r="A28" s="5" t="inlineStr">
        <is>
          <t>SO-2027</t>
        </is>
      </c>
      <c r="B28" s="10" t="inlineStr">
        <is>
          <t>2026-01-01</t>
        </is>
      </c>
      <c r="C28" s="5" t="inlineStr">
        <is>
          <t>South</t>
        </is>
      </c>
      <c r="D28" s="5" t="inlineStr">
        <is>
          <t>Mouse</t>
        </is>
      </c>
      <c r="E28" s="5" t="inlineStr">
        <is>
          <t>Accessories</t>
        </is>
      </c>
      <c r="F28" s="5" t="n">
        <v>3</v>
      </c>
      <c r="G28" s="6" t="n">
        <v>650</v>
      </c>
      <c r="H28" s="6">
        <f>F28*G28</f>
        <v/>
      </c>
      <c r="I28" s="5" t="inlineStr">
        <is>
          <t>Zoya</t>
        </is>
      </c>
      <c r="J28" s="5" t="inlineStr">
        <is>
          <t>Pending</t>
        </is>
      </c>
    </row>
    <row r="29">
      <c r="A29" s="5" t="inlineStr">
        <is>
          <t>SO-2028</t>
        </is>
      </c>
      <c r="B29" s="10" t="inlineStr">
        <is>
          <t>2026-02-02</t>
        </is>
      </c>
      <c r="C29" s="5" t="inlineStr">
        <is>
          <t>North</t>
        </is>
      </c>
      <c r="D29" s="5" t="inlineStr">
        <is>
          <t>Monitor</t>
        </is>
      </c>
      <c r="E29" s="5" t="inlineStr">
        <is>
          <t>Electronics</t>
        </is>
      </c>
      <c r="F29" s="5" t="n">
        <v>4</v>
      </c>
      <c r="G29" s="6" t="n">
        <v>12500</v>
      </c>
      <c r="H29" s="6">
        <f>F29*G29</f>
        <v/>
      </c>
      <c r="I29" s="5" t="inlineStr">
        <is>
          <t>Aman</t>
        </is>
      </c>
      <c r="J29" s="5" t="inlineStr">
        <is>
          <t>Paid</t>
        </is>
      </c>
    </row>
    <row r="30">
      <c r="A30" s="5" t="inlineStr">
        <is>
          <t>SO-2029</t>
        </is>
      </c>
      <c r="B30" s="10" t="inlineStr">
        <is>
          <t>2026-03-03</t>
        </is>
      </c>
      <c r="C30" s="5" t="inlineStr">
        <is>
          <t>West</t>
        </is>
      </c>
      <c r="D30" s="5" t="inlineStr">
        <is>
          <t>Webcam</t>
        </is>
      </c>
      <c r="E30" s="5" t="inlineStr">
        <is>
          <t>Accessories</t>
        </is>
      </c>
      <c r="F30" s="5" t="n">
        <v>5</v>
      </c>
      <c r="G30" s="6" t="n">
        <v>1800</v>
      </c>
      <c r="H30" s="6">
        <f>F30*G30</f>
        <v/>
      </c>
      <c r="I30" s="5" t="inlineStr">
        <is>
          <t>Neha</t>
        </is>
      </c>
      <c r="J30" s="5" t="inlineStr">
        <is>
          <t>Cancelled</t>
        </is>
      </c>
    </row>
    <row r="31">
      <c r="A31" s="5" t="inlineStr">
        <is>
          <t>SO-2030</t>
        </is>
      </c>
      <c r="B31" s="10" t="inlineStr">
        <is>
          <t>2026-01-04</t>
        </is>
      </c>
      <c r="C31" s="5" t="inlineStr">
        <is>
          <t>West</t>
        </is>
      </c>
      <c r="D31" s="5" t="inlineStr">
        <is>
          <t>Monitor</t>
        </is>
      </c>
      <c r="E31" s="5" t="inlineStr">
        <is>
          <t>Electronics</t>
        </is>
      </c>
      <c r="F31" s="5" t="n">
        <v>1</v>
      </c>
      <c r="G31" s="6" t="n">
        <v>12500</v>
      </c>
      <c r="H31" s="6">
        <f>F31*G31</f>
        <v/>
      </c>
      <c r="I31" s="5" t="inlineStr">
        <is>
          <t>Aisha</t>
        </is>
      </c>
      <c r="J31" s="5" t="inlineStr">
        <is>
          <t>Paid</t>
        </is>
      </c>
    </row>
    <row r="32">
      <c r="A32" s="5" t="inlineStr">
        <is>
          <t>SO-2031</t>
        </is>
      </c>
      <c r="B32" s="10" t="inlineStr">
        <is>
          <t>2026-02-05</t>
        </is>
      </c>
      <c r="C32" s="5" t="inlineStr">
        <is>
          <t>East</t>
        </is>
      </c>
      <c r="D32" s="5" t="inlineStr">
        <is>
          <t>Webcam</t>
        </is>
      </c>
      <c r="E32" s="5" t="inlineStr">
        <is>
          <t>Accessories</t>
        </is>
      </c>
      <c r="F32" s="5" t="n">
        <v>2</v>
      </c>
      <c r="G32" s="6" t="n">
        <v>1800</v>
      </c>
      <c r="H32" s="6">
        <f>F32*G32</f>
        <v/>
      </c>
      <c r="I32" s="5" t="inlineStr">
        <is>
          <t>Rahul</t>
        </is>
      </c>
      <c r="J32" s="5" t="inlineStr">
        <is>
          <t>Paid</t>
        </is>
      </c>
    </row>
    <row r="33">
      <c r="A33" s="5" t="inlineStr">
        <is>
          <t>SO-2032</t>
        </is>
      </c>
      <c r="B33" s="10" t="inlineStr">
        <is>
          <t>2026-03-06</t>
        </is>
      </c>
      <c r="C33" s="5" t="inlineStr">
        <is>
          <t>South</t>
        </is>
      </c>
      <c r="D33" s="5" t="inlineStr">
        <is>
          <t>Keyboard</t>
        </is>
      </c>
      <c r="E33" s="5" t="inlineStr">
        <is>
          <t>Accessories</t>
        </is>
      </c>
      <c r="F33" s="5" t="n">
        <v>3</v>
      </c>
      <c r="G33" s="6" t="n">
        <v>1200</v>
      </c>
      <c r="H33" s="6">
        <f>F33*G33</f>
        <v/>
      </c>
      <c r="I33" s="5" t="inlineStr">
        <is>
          <t>Zoya</t>
        </is>
      </c>
      <c r="J33" s="5" t="inlineStr">
        <is>
          <t>Pending</t>
        </is>
      </c>
    </row>
    <row r="34">
      <c r="A34" s="5" t="inlineStr">
        <is>
          <t>SO-2033</t>
        </is>
      </c>
      <c r="B34" s="10" t="inlineStr">
        <is>
          <t>2026-01-07</t>
        </is>
      </c>
      <c r="C34" s="5" t="inlineStr">
        <is>
          <t>South</t>
        </is>
      </c>
      <c r="D34" s="5" t="inlineStr">
        <is>
          <t>Tablet</t>
        </is>
      </c>
      <c r="E34" s="5" t="inlineStr">
        <is>
          <t>Electronics</t>
        </is>
      </c>
      <c r="F34" s="5" t="n">
        <v>4</v>
      </c>
      <c r="G34" s="6" t="n">
        <v>22000</v>
      </c>
      <c r="H34" s="6">
        <f>F34*G34</f>
        <v/>
      </c>
      <c r="I34" s="5" t="inlineStr">
        <is>
          <t>Aman</t>
        </is>
      </c>
      <c r="J34" s="5" t="inlineStr">
        <is>
          <t>Paid</t>
        </is>
      </c>
    </row>
    <row r="35">
      <c r="A35" s="5" t="inlineStr">
        <is>
          <t>SO-2034</t>
        </is>
      </c>
      <c r="B35" s="10" t="inlineStr">
        <is>
          <t>2026-02-08</t>
        </is>
      </c>
      <c r="C35" s="5" t="inlineStr">
        <is>
          <t>North</t>
        </is>
      </c>
      <c r="D35" s="5" t="inlineStr">
        <is>
          <t>Keyboard</t>
        </is>
      </c>
      <c r="E35" s="5" t="inlineStr">
        <is>
          <t>Accessories</t>
        </is>
      </c>
      <c r="F35" s="5" t="n">
        <v>5</v>
      </c>
      <c r="G35" s="6" t="n">
        <v>1200</v>
      </c>
      <c r="H35" s="6">
        <f>F35*G35</f>
        <v/>
      </c>
      <c r="I35" s="5" t="inlineStr">
        <is>
          <t>Neha</t>
        </is>
      </c>
      <c r="J35" s="5" t="inlineStr">
        <is>
          <t>Cancelled</t>
        </is>
      </c>
    </row>
    <row r="36">
      <c r="A36" s="5" t="inlineStr">
        <is>
          <t>SO-2035</t>
        </is>
      </c>
      <c r="B36" s="10" t="inlineStr">
        <is>
          <t>2026-03-09</t>
        </is>
      </c>
      <c r="C36" s="5" t="inlineStr">
        <is>
          <t>West</t>
        </is>
      </c>
      <c r="D36" s="5" t="inlineStr">
        <is>
          <t>Tablet</t>
        </is>
      </c>
      <c r="E36" s="5" t="inlineStr">
        <is>
          <t>Electronics</t>
        </is>
      </c>
      <c r="F36" s="5" t="n">
        <v>1</v>
      </c>
      <c r="G36" s="6" t="n">
        <v>22000</v>
      </c>
      <c r="H36" s="6">
        <f>F36*G36</f>
        <v/>
      </c>
      <c r="I36" s="5" t="inlineStr">
        <is>
          <t>Aisha</t>
        </is>
      </c>
      <c r="J36" s="5" t="inlineStr">
        <is>
          <t>Paid</t>
        </is>
      </c>
    </row>
    <row r="37">
      <c r="A37" s="5" t="inlineStr">
        <is>
          <t>SO-2036</t>
        </is>
      </c>
      <c r="B37" s="10" t="inlineStr">
        <is>
          <t>2026-01-10</t>
        </is>
      </c>
      <c r="C37" s="5" t="inlineStr">
        <is>
          <t>West</t>
        </is>
      </c>
      <c r="D37" s="5" t="inlineStr">
        <is>
          <t>Mouse</t>
        </is>
      </c>
      <c r="E37" s="5" t="inlineStr">
        <is>
          <t>Accessories</t>
        </is>
      </c>
      <c r="F37" s="5" t="n">
        <v>2</v>
      </c>
      <c r="G37" s="6" t="n">
        <v>650</v>
      </c>
      <c r="H37" s="6">
        <f>F37*G37</f>
        <v/>
      </c>
      <c r="I37" s="5" t="inlineStr">
        <is>
          <t>Rahul</t>
        </is>
      </c>
      <c r="J37" s="5" t="inlineStr">
        <is>
          <t>Paid</t>
        </is>
      </c>
    </row>
    <row r="38">
      <c r="A38" s="5" t="inlineStr">
        <is>
          <t>SO-2037</t>
        </is>
      </c>
      <c r="B38" s="10" t="inlineStr">
        <is>
          <t>2026-02-11</t>
        </is>
      </c>
      <c r="C38" s="5" t="inlineStr">
        <is>
          <t>East</t>
        </is>
      </c>
      <c r="D38" s="5" t="inlineStr">
        <is>
          <t>Laptop</t>
        </is>
      </c>
      <c r="E38" s="5" t="inlineStr">
        <is>
          <t>Electronics</t>
        </is>
      </c>
      <c r="F38" s="5" t="n">
        <v>3</v>
      </c>
      <c r="G38" s="6" t="n">
        <v>55000</v>
      </c>
      <c r="H38" s="6">
        <f>F38*G38</f>
        <v/>
      </c>
      <c r="I38" s="5" t="inlineStr">
        <is>
          <t>Zoya</t>
        </is>
      </c>
      <c r="J38" s="5" t="inlineStr">
        <is>
          <t>Pending</t>
        </is>
      </c>
    </row>
    <row r="39">
      <c r="A39" s="5" t="inlineStr">
        <is>
          <t>SO-2038</t>
        </is>
      </c>
      <c r="B39" s="10" t="inlineStr">
        <is>
          <t>2026-03-12</t>
        </is>
      </c>
      <c r="C39" s="5" t="inlineStr">
        <is>
          <t>South</t>
        </is>
      </c>
      <c r="D39" s="5" t="inlineStr">
        <is>
          <t>Mouse</t>
        </is>
      </c>
      <c r="E39" s="5" t="inlineStr">
        <is>
          <t>Accessories</t>
        </is>
      </c>
      <c r="F39" s="5" t="n">
        <v>4</v>
      </c>
      <c r="G39" s="6" t="n">
        <v>650</v>
      </c>
      <c r="H39" s="6">
        <f>F39*G39</f>
        <v/>
      </c>
      <c r="I39" s="5" t="inlineStr">
        <is>
          <t>Aman</t>
        </is>
      </c>
      <c r="J39" s="5" t="inlineStr">
        <is>
          <t>Paid</t>
        </is>
      </c>
    </row>
    <row r="40">
      <c r="A40" s="5" t="inlineStr">
        <is>
          <t>SO-2039</t>
        </is>
      </c>
      <c r="B40" s="10" t="inlineStr">
        <is>
          <t>2026-01-13</t>
        </is>
      </c>
      <c r="C40" s="5" t="inlineStr">
        <is>
          <t>South</t>
        </is>
      </c>
      <c r="D40" s="5" t="inlineStr">
        <is>
          <t>Laptop</t>
        </is>
      </c>
      <c r="E40" s="5" t="inlineStr">
        <is>
          <t>Electronics</t>
        </is>
      </c>
      <c r="F40" s="5" t="n">
        <v>5</v>
      </c>
      <c r="G40" s="6" t="n">
        <v>55000</v>
      </c>
      <c r="H40" s="6">
        <f>F40*G40</f>
        <v/>
      </c>
      <c r="I40" s="5" t="inlineStr">
        <is>
          <t>Neha</t>
        </is>
      </c>
      <c r="J40" s="5" t="inlineStr">
        <is>
          <t>Cancelled</t>
        </is>
      </c>
    </row>
    <row r="41">
      <c r="A41" s="5" t="inlineStr">
        <is>
          <t>SO-2040</t>
        </is>
      </c>
      <c r="B41" s="10" t="inlineStr">
        <is>
          <t>2026-02-14</t>
        </is>
      </c>
      <c r="C41" s="5" t="inlineStr">
        <is>
          <t>North</t>
        </is>
      </c>
      <c r="D41" s="5" t="inlineStr">
        <is>
          <t>Webcam</t>
        </is>
      </c>
      <c r="E41" s="5" t="inlineStr">
        <is>
          <t>Accessories</t>
        </is>
      </c>
      <c r="F41" s="5" t="n">
        <v>1</v>
      </c>
      <c r="G41" s="6" t="n">
        <v>1800</v>
      </c>
      <c r="H41" s="6">
        <f>F41*G41</f>
        <v/>
      </c>
      <c r="I41" s="5" t="inlineStr">
        <is>
          <t>Aisha</t>
        </is>
      </c>
      <c r="J41" s="5" t="inlineStr">
        <is>
          <t>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90" customWidth="1" min="3" max="3"/>
  </cols>
  <sheetData>
    <row r="1" ht="28" customHeight="1">
      <c r="A1" s="9" t="inlineStr">
        <is>
          <t>Step</t>
        </is>
      </c>
      <c r="B1" s="9" t="inlineStr">
        <is>
          <t>Action</t>
        </is>
      </c>
      <c r="C1" s="9" t="inlineStr">
        <is>
          <t>Notes</t>
        </is>
      </c>
    </row>
    <row r="2">
      <c r="A2" s="5" t="n">
        <v>1</v>
      </c>
      <c r="B2" s="5" t="inlineStr">
        <is>
          <t>Review Sales_Data</t>
        </is>
      </c>
      <c r="C2" s="5" t="inlineStr">
        <is>
          <t>The source dataset contains 40 sample orders; all data is fictional and for practice.</t>
        </is>
      </c>
    </row>
    <row r="3">
      <c r="A3" s="5" t="n">
        <v>2</v>
      </c>
      <c r="B3" s="5" t="inlineStr">
        <is>
          <t>Check Revenue formula</t>
        </is>
      </c>
      <c r="C3" s="5" t="inlineStr">
        <is>
          <t>Revenue is calculated as Units × Unit_Price in each row.</t>
        </is>
      </c>
    </row>
    <row r="4">
      <c r="A4" s="5" t="n">
        <v>3</v>
      </c>
      <c r="B4" s="5" t="inlineStr">
        <is>
          <t>Review Dashboard KPIs</t>
        </is>
      </c>
      <c r="C4" s="5" t="inlineStr">
        <is>
          <t>Summary values are formulas linked to the source worksheet.</t>
        </is>
      </c>
    </row>
    <row r="5">
      <c r="A5" s="5" t="n">
        <v>4</v>
      </c>
      <c r="B5" s="5" t="inlineStr">
        <is>
          <t>Explore region and category summaries</t>
        </is>
      </c>
      <c r="C5" s="5" t="inlineStr">
        <is>
          <t>These formula-driven summaries demonstrate PivotTable-style grouping.</t>
        </is>
      </c>
    </row>
    <row r="6">
      <c r="A6" s="5" t="n">
        <v>5</v>
      </c>
      <c r="B6" s="5" t="inlineStr">
        <is>
          <t>Build a real PivotTable (optional)</t>
        </is>
      </c>
      <c r="C6" s="5" t="inlineStr">
        <is>
          <t>Select Sales_Data &gt; Insert &gt; PivotTable; use Region/Category in Rows and Revenue in Values.</t>
        </is>
      </c>
    </row>
    <row r="7">
      <c r="A7" s="5" t="n">
        <v>6</v>
      </c>
      <c r="B7" s="5" t="inlineStr">
        <is>
          <t>Refresh after changing data</t>
        </is>
      </c>
      <c r="C7" s="5" t="inlineStr">
        <is>
          <t>Excel Tables and PivotTables can be refreshed; formula ranges here are sized for 40 sample rows.</t>
        </is>
      </c>
    </row>
    <row r="8">
      <c r="A8" s="5" t="n">
        <v>7</v>
      </c>
      <c r="B8" s="5" t="inlineStr">
        <is>
          <t>Interpret metrics carefully</t>
        </is>
      </c>
      <c r="C8" s="5" t="inlineStr">
        <is>
          <t>Total revenue includes all statuses; use Paid Revenue for paid orders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2026-10-20T16:32:44Z</dcterms:created>
  <dcterms:modified xmlns:dcterms="http://purl.org/dc/terms/" xmlns:xsi="http://www.w3.org/2001/XMLSchema-instance" xsi:type="dcterms:W3CDTF">2026-10-20T16:32:44Z</dcterms:modified>
</cp:coreProperties>
</file>